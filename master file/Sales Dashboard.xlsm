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MIS\Dashboard\"/>
    </mc:Choice>
  </mc:AlternateContent>
  <xr:revisionPtr revIDLastSave="0" documentId="13_ncr:1_{B8504C2E-C412-4060-B240-F2B63F4E3145}" xr6:coauthVersionLast="47" xr6:coauthVersionMax="47" xr10:uidLastSave="{00000000-0000-0000-0000-000000000000}"/>
  <bookViews>
    <workbookView xWindow="-110" yWindow="-110" windowWidth="19420" windowHeight="10300" activeTab="4" xr2:uid="{B453A74E-1787-4F34-A1C1-594CB43BA2DD}"/>
  </bookViews>
  <sheets>
    <sheet name="Data" sheetId="2" r:id="rId1"/>
    <sheet name="Analysis" sheetId="1" r:id="rId2"/>
    <sheet name="Budget" sheetId="4" r:id="rId3"/>
    <sheet name="Dashboard" sheetId="5" r:id="rId4"/>
    <sheet name="Automate" sheetId="6" r:id="rId5"/>
  </sheets>
  <definedNames>
    <definedName name="ExternalData_1" localSheetId="2" hidden="1">Budget!$A$1:$C$14</definedName>
    <definedName name="ExternalData_1" localSheetId="0" hidden="1">Data!$A$1:$T$701</definedName>
    <definedName name="Slicer_Month">#N/A</definedName>
    <definedName name="Slicer_Quarter">#N/A</definedName>
    <definedName name="Slicer_Segment">#N/A</definedName>
    <definedName name="Slicer_Yea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4" i="1" l="1"/>
  <c r="I25" i="1"/>
  <c r="I26" i="1"/>
  <c r="I27" i="1"/>
  <c r="I28" i="1"/>
  <c r="I29" i="1"/>
  <c r="I30" i="1"/>
  <c r="B64" i="1"/>
  <c r="D64" i="1" s="1"/>
  <c r="N16" i="1"/>
  <c r="M16" i="1"/>
  <c r="N5" i="1"/>
  <c r="N6" i="1"/>
  <c r="N7" i="1"/>
  <c r="N8" i="1"/>
  <c r="N9" i="1"/>
  <c r="N10" i="1"/>
  <c r="N11" i="1"/>
  <c r="N12" i="1"/>
  <c r="N13" i="1"/>
  <c r="N14" i="1"/>
  <c r="N15" i="1"/>
  <c r="M5" i="1"/>
  <c r="M6" i="1"/>
  <c r="M7" i="1"/>
  <c r="M8" i="1"/>
  <c r="M9" i="1"/>
  <c r="M10" i="1"/>
  <c r="M11" i="1"/>
  <c r="M12" i="1"/>
  <c r="O12" i="1" s="1"/>
  <c r="M13" i="1"/>
  <c r="M14" i="1"/>
  <c r="M15" i="1"/>
  <c r="L5" i="1"/>
  <c r="L6" i="1"/>
  <c r="L7" i="1"/>
  <c r="L8" i="1"/>
  <c r="L9" i="1"/>
  <c r="L10" i="1"/>
  <c r="L11" i="1"/>
  <c r="L12" i="1"/>
  <c r="L13" i="1"/>
  <c r="L14" i="1"/>
  <c r="L15" i="1"/>
  <c r="N4" i="1"/>
  <c r="M4" i="1"/>
  <c r="L4" i="1"/>
  <c r="B55" i="1"/>
  <c r="B62" i="1" s="1"/>
  <c r="D62" i="1" s="1"/>
  <c r="B54" i="1"/>
  <c r="B61" i="1" s="1"/>
  <c r="D61" i="1" s="1"/>
  <c r="V2" i="2"/>
  <c r="J25" i="1" l="1"/>
  <c r="O13" i="1"/>
  <c r="O9" i="1"/>
  <c r="O16" i="1"/>
  <c r="O8" i="1"/>
  <c r="J29" i="1"/>
  <c r="O5" i="1"/>
  <c r="J28" i="1"/>
  <c r="J26" i="1"/>
  <c r="J27" i="1"/>
  <c r="O4" i="1"/>
  <c r="O14" i="1"/>
  <c r="O10" i="1"/>
  <c r="O6" i="1"/>
  <c r="O15" i="1"/>
  <c r="O11" i="1"/>
  <c r="O7" i="1"/>
  <c r="J24" i="1"/>
  <c r="B56" i="1"/>
  <c r="B63" i="1" s="1"/>
  <c r="D6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59FD1E-58AA-49EF-94C9-2027C50F42C7}"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BB592ABE-E28D-4A42-8A20-18602A8581A4}"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sharedStrings.xml><?xml version="1.0" encoding="utf-8"?>
<sst xmlns="http://schemas.openxmlformats.org/spreadsheetml/2006/main" count="6485" uniqueCount="337">
  <si>
    <t>Segment</t>
  </si>
  <si>
    <t>Country</t>
  </si>
  <si>
    <t>Product_Name</t>
  </si>
  <si>
    <t>Customer_ID</t>
  </si>
  <si>
    <t>Product_ID</t>
  </si>
  <si>
    <t>Customer_Name</t>
  </si>
  <si>
    <t>Discount Band</t>
  </si>
  <si>
    <t>Date</t>
  </si>
  <si>
    <t>Month</t>
  </si>
  <si>
    <t>Quarter</t>
  </si>
  <si>
    <t>Year</t>
  </si>
  <si>
    <t>Units Sold</t>
  </si>
  <si>
    <t>Manufacturing Price</t>
  </si>
  <si>
    <t>Sale Price</t>
  </si>
  <si>
    <t>Gross Sales</t>
  </si>
  <si>
    <t>Discounts</t>
  </si>
  <si>
    <t>Net Sales</t>
  </si>
  <si>
    <t>Sales ('000)</t>
  </si>
  <si>
    <t>COGS</t>
  </si>
  <si>
    <t>Profit</t>
  </si>
  <si>
    <t>Enterprise</t>
  </si>
  <si>
    <t>USA</t>
  </si>
  <si>
    <t>X-Terrain</t>
  </si>
  <si>
    <t>CUST_ID_001</t>
  </si>
  <si>
    <t>PROD_ID_001</t>
  </si>
  <si>
    <t>James Smith</t>
  </si>
  <si>
    <t>None</t>
  </si>
  <si>
    <t>Sep</t>
  </si>
  <si>
    <t>Q3</t>
  </si>
  <si>
    <t>Midmarket</t>
  </si>
  <si>
    <t>Canada</t>
  </si>
  <si>
    <t>City Cruiser</t>
  </si>
  <si>
    <t>CUST_ID_002</t>
  </si>
  <si>
    <t>PROD_ID_002</t>
  </si>
  <si>
    <t>Emma Johnson</t>
  </si>
  <si>
    <t>Jan</t>
  </si>
  <si>
    <t>Q1</t>
  </si>
  <si>
    <t>Government</t>
  </si>
  <si>
    <t>France</t>
  </si>
  <si>
    <t>CUST_ID_004</t>
  </si>
  <si>
    <t>Olivia Brown</t>
  </si>
  <si>
    <t>Aug</t>
  </si>
  <si>
    <t>India</t>
  </si>
  <si>
    <t>Speedster</t>
  </si>
  <si>
    <t>CUST_ID_007</t>
  </si>
  <si>
    <t>PROD_ID_003</t>
  </si>
  <si>
    <t>Ethan Miller</t>
  </si>
  <si>
    <t>Japan</t>
  </si>
  <si>
    <t>Trail Master</t>
  </si>
  <si>
    <t>CUST_ID_008</t>
  </si>
  <si>
    <t>PROD_ID_004</t>
  </si>
  <si>
    <t>Isabella Wilson</t>
  </si>
  <si>
    <t>Feb</t>
  </si>
  <si>
    <t>Small Business</t>
  </si>
  <si>
    <t>England</t>
  </si>
  <si>
    <t>Road Racer</t>
  </si>
  <si>
    <t>CUST_ID_011</t>
  </si>
  <si>
    <t>PROD_ID_005</t>
  </si>
  <si>
    <t>Benjamin Martinez</t>
  </si>
  <si>
    <t>Low</t>
  </si>
  <si>
    <t>Nov</t>
  </si>
  <si>
    <t>Q4</t>
  </si>
  <si>
    <t>CUST_ID_012</t>
  </si>
  <si>
    <t>Mia Thomas</t>
  </si>
  <si>
    <t>Dec</t>
  </si>
  <si>
    <t>Germany</t>
  </si>
  <si>
    <t>CUST_ID_013</t>
  </si>
  <si>
    <t>Logan Jackson</t>
  </si>
  <si>
    <t>CUST_ID_020</t>
  </si>
  <si>
    <t>Abigail Robinson</t>
  </si>
  <si>
    <t>CUST_ID_021</t>
  </si>
  <si>
    <t>Aiden Lewis</t>
  </si>
  <si>
    <t>Oct</t>
  </si>
  <si>
    <t>CUST_ID_023</t>
  </si>
  <si>
    <t>Sebastian Lee</t>
  </si>
  <si>
    <t>CUST_ID_024</t>
  </si>
  <si>
    <t>Elizabeth Green</t>
  </si>
  <si>
    <t>May</t>
  </si>
  <si>
    <t>Q2</t>
  </si>
  <si>
    <t>Channel Partners</t>
  </si>
  <si>
    <t>CUST_ID_025</t>
  </si>
  <si>
    <t>Alexander Perez</t>
  </si>
  <si>
    <t>CUST_ID_026</t>
  </si>
  <si>
    <t>Avery Turner</t>
  </si>
  <si>
    <t>Italy</t>
  </si>
  <si>
    <t>CUST_ID_030</t>
  </si>
  <si>
    <t>Sophia Turner</t>
  </si>
  <si>
    <t>CUST_ID_031</t>
  </si>
  <si>
    <t>Benjamin Lee</t>
  </si>
  <si>
    <t>Jul</t>
  </si>
  <si>
    <t>CUST_ID_032</t>
  </si>
  <si>
    <t>Mia White</t>
  </si>
  <si>
    <t>CUST_ID_037</t>
  </si>
  <si>
    <t>Henry Martinez</t>
  </si>
  <si>
    <t>CUST_ID_040</t>
  </si>
  <si>
    <t>Abigail Lewis</t>
  </si>
  <si>
    <t>CUST_ID_043</t>
  </si>
  <si>
    <t>Sebastian Phillips</t>
  </si>
  <si>
    <t>CUST_ID_033</t>
  </si>
  <si>
    <t>Logan Garcia</t>
  </si>
  <si>
    <t>CUST_ID_045</t>
  </si>
  <si>
    <t>Alexander Hill</t>
  </si>
  <si>
    <t>Yellow Edition</t>
  </si>
  <si>
    <t>CUST_ID_047</t>
  </si>
  <si>
    <t>PROD_ID_006</t>
  </si>
  <si>
    <t>Michael Wilson</t>
  </si>
  <si>
    <t>CUST_ID_035</t>
  </si>
  <si>
    <t>Samuel Johnson</t>
  </si>
  <si>
    <t>Medium</t>
  </si>
  <si>
    <t>Mar</t>
  </si>
  <si>
    <t>CUST_ID_049</t>
  </si>
  <si>
    <t>Elijah Perez</t>
  </si>
  <si>
    <t>Apr</t>
  </si>
  <si>
    <t>CUST_ID_050</t>
  </si>
  <si>
    <t>Mia Hill</t>
  </si>
  <si>
    <t>CUST_ID_051</t>
  </si>
  <si>
    <t>Logan Phillips</t>
  </si>
  <si>
    <t>CUST_ID_052</t>
  </si>
  <si>
    <t>Charlotte Martin</t>
  </si>
  <si>
    <t>CUST_ID_053</t>
  </si>
  <si>
    <t>Samuel Hill</t>
  </si>
  <si>
    <t>CUST_ID_055</t>
  </si>
  <si>
    <t>Henry Turner</t>
  </si>
  <si>
    <t>CUST_ID_056</t>
  </si>
  <si>
    <t>Amelia Perez</t>
  </si>
  <si>
    <t>CUST_ID_057</t>
  </si>
  <si>
    <t>Jackson Hill</t>
  </si>
  <si>
    <t>CUST_ID_060</t>
  </si>
  <si>
    <t>Emily Garcia</t>
  </si>
  <si>
    <t>CUST_ID_061</t>
  </si>
  <si>
    <t>Benjamin Martin</t>
  </si>
  <si>
    <t>CUST_ID_054</t>
  </si>
  <si>
    <t>Harper Wilson</t>
  </si>
  <si>
    <t>CUST_ID_062</t>
  </si>
  <si>
    <t>Mia Lewis</t>
  </si>
  <si>
    <t>CUST_ID_063</t>
  </si>
  <si>
    <t>Logan Clark</t>
  </si>
  <si>
    <t>CUST_ID_065</t>
  </si>
  <si>
    <t>Samuel Wilson</t>
  </si>
  <si>
    <t>CUST_ID_067</t>
  </si>
  <si>
    <t>Henry Phillips</t>
  </si>
  <si>
    <t>CUST_ID_068</t>
  </si>
  <si>
    <t>Amelia Martin</t>
  </si>
  <si>
    <t>CUST_ID_069</t>
  </si>
  <si>
    <t>Jun</t>
  </si>
  <si>
    <t>CUST_ID_071</t>
  </si>
  <si>
    <t>Aiden Perez</t>
  </si>
  <si>
    <t>CUST_ID_074</t>
  </si>
  <si>
    <t>Mia Turner</t>
  </si>
  <si>
    <t>CUST_ID_072</t>
  </si>
  <si>
    <t>Emily Hill</t>
  </si>
  <si>
    <t>CUST_ID_078</t>
  </si>
  <si>
    <t>Harper Hill</t>
  </si>
  <si>
    <t>CUST_ID_081</t>
  </si>
  <si>
    <t>Jackson Lewis</t>
  </si>
  <si>
    <t>CUST_ID_083</t>
  </si>
  <si>
    <t>Aiden Anderson</t>
  </si>
  <si>
    <t>High</t>
  </si>
  <si>
    <t>CUST_ID_089</t>
  </si>
  <si>
    <t>Samuel Turner</t>
  </si>
  <si>
    <t>CUST_ID_090</t>
  </si>
  <si>
    <t>Harper Martin</t>
  </si>
  <si>
    <t>CUST_ID_091</t>
  </si>
  <si>
    <t>Henry Garcia</t>
  </si>
  <si>
    <t>CUST_ID_092</t>
  </si>
  <si>
    <t>Amelia Phillips</t>
  </si>
  <si>
    <t>CUST_ID_094</t>
  </si>
  <si>
    <t>Abigail Martin</t>
  </si>
  <si>
    <t>CUST_ID_046</t>
  </si>
  <si>
    <t>Avery Anderson</t>
  </si>
  <si>
    <t>CUST_ID_095</t>
  </si>
  <si>
    <t>Aiden Garcia</t>
  </si>
  <si>
    <t>CUST_ID_048</t>
  </si>
  <si>
    <t>Sofia Turner</t>
  </si>
  <si>
    <t>CUST_ID_098</t>
  </si>
  <si>
    <t>CUST_ID_085</t>
  </si>
  <si>
    <t>Benjamin Garcia</t>
  </si>
  <si>
    <t>CUST_ID_006</t>
  </si>
  <si>
    <t>Ava Davis</t>
  </si>
  <si>
    <t>CUST_ID_103</t>
  </si>
  <si>
    <t>Henry Martin</t>
  </si>
  <si>
    <t>CUST_ID_104</t>
  </si>
  <si>
    <t>Amelia Hill</t>
  </si>
  <si>
    <t>CUST_ID_027</t>
  </si>
  <si>
    <t>Michael Hill</t>
  </si>
  <si>
    <t>CUST_ID_015</t>
  </si>
  <si>
    <t>Samuel Taylor</t>
  </si>
  <si>
    <t>CUST_ID_105</t>
  </si>
  <si>
    <t>Jackson Turner</t>
  </si>
  <si>
    <t>CUST_ID_042</t>
  </si>
  <si>
    <t>CUST_ID_107</t>
  </si>
  <si>
    <t>Aiden Hill</t>
  </si>
  <si>
    <t>CUST_ID_110</t>
  </si>
  <si>
    <t>CUST_ID_111</t>
  </si>
  <si>
    <t>CUST_ID_112</t>
  </si>
  <si>
    <t>Charlotte Hill</t>
  </si>
  <si>
    <t>CUST_ID_113</t>
  </si>
  <si>
    <t>CUST_ID_014</t>
  </si>
  <si>
    <t>Charlotte White</t>
  </si>
  <si>
    <t>CUST_ID_044</t>
  </si>
  <si>
    <t>Elizabeth Martin</t>
  </si>
  <si>
    <t>CUST_ID_114</t>
  </si>
  <si>
    <t>CUST_ID_087</t>
  </si>
  <si>
    <t>CUST_ID_039</t>
  </si>
  <si>
    <t>CUST_ID_018</t>
  </si>
  <si>
    <t>Amelia Garcia</t>
  </si>
  <si>
    <t>CUST_ID_066</t>
  </si>
  <si>
    <t>Harper Turner</t>
  </si>
  <si>
    <t>CUST_ID_036</t>
  </si>
  <si>
    <t>Harper Anderson</t>
  </si>
  <si>
    <t>CUST_ID_038</t>
  </si>
  <si>
    <t>Amelia Wilson</t>
  </si>
  <si>
    <t>CUST_ID_117</t>
  </si>
  <si>
    <t>CUST_ID_118</t>
  </si>
  <si>
    <t>CUST_ID_099</t>
  </si>
  <si>
    <t>Logan Martin</t>
  </si>
  <si>
    <t>CUST_ID_121</t>
  </si>
  <si>
    <t>Benjamin Phillips</t>
  </si>
  <si>
    <t>CUST_ID_005</t>
  </si>
  <si>
    <t>Liam Jones</t>
  </si>
  <si>
    <t>CUST_ID_070</t>
  </si>
  <si>
    <t>Abigail Garcia</t>
  </si>
  <si>
    <t>CUST_ID_122</t>
  </si>
  <si>
    <t>CUST_ID_123</t>
  </si>
  <si>
    <t>CUST_ID_064</t>
  </si>
  <si>
    <t>Charlotte Anderson</t>
  </si>
  <si>
    <t>CUST_ID_059</t>
  </si>
  <si>
    <t>Aiden Martin</t>
  </si>
  <si>
    <t>CUST_ID_079</t>
  </si>
  <si>
    <t>CUST_ID_130</t>
  </si>
  <si>
    <t>Abigail Phillips</t>
  </si>
  <si>
    <t>CUST_ID_034</t>
  </si>
  <si>
    <t>Charlotte Davis</t>
  </si>
  <si>
    <t>CUST_ID_016</t>
  </si>
  <si>
    <t>Harper Davis</t>
  </si>
  <si>
    <t>CUST_ID_116</t>
  </si>
  <si>
    <t>CUST_ID_093</t>
  </si>
  <si>
    <t>CUST_ID_010</t>
  </si>
  <si>
    <t>Sophia Anderson</t>
  </si>
  <si>
    <t>CUST_ID_108</t>
  </si>
  <si>
    <t>Emily Martin</t>
  </si>
  <si>
    <t>CUST_ID_003</t>
  </si>
  <si>
    <t>Noah Williams</t>
  </si>
  <si>
    <t>CUST_ID_115</t>
  </si>
  <si>
    <t>CUST_ID_135</t>
  </si>
  <si>
    <t>CUST_ID_041</t>
  </si>
  <si>
    <t>Aiden Clark</t>
  </si>
  <si>
    <t>CUST_ID_077</t>
  </si>
  <si>
    <t>Samuel Phillips</t>
  </si>
  <si>
    <t>CUST_ID_136</t>
  </si>
  <si>
    <t>CUST_ID_137</t>
  </si>
  <si>
    <t>CUST_ID_129</t>
  </si>
  <si>
    <t>CUST_ID_140</t>
  </si>
  <si>
    <t>CUST_ID_141</t>
  </si>
  <si>
    <t>CUST_ID_029</t>
  </si>
  <si>
    <t>Elijah Martin</t>
  </si>
  <si>
    <t>CUST_ID_086</t>
  </si>
  <si>
    <t>CUST_ID_017</t>
  </si>
  <si>
    <t>Henry Anderson</t>
  </si>
  <si>
    <t>CUST_ID_100</t>
  </si>
  <si>
    <t>Charlotte Garcia</t>
  </si>
  <si>
    <t>CUST_ID_133</t>
  </si>
  <si>
    <t>CUST_ID_028</t>
  </si>
  <si>
    <t>Sofia Phillips</t>
  </si>
  <si>
    <t>CUST_ID_097</t>
  </si>
  <si>
    <t>Benjamin Hill</t>
  </si>
  <si>
    <t>CUST_ID_147</t>
  </si>
  <si>
    <t>CUST_ID_075</t>
  </si>
  <si>
    <t>CUST_ID_009</t>
  </si>
  <si>
    <t>Mason Taylor</t>
  </si>
  <si>
    <t>CUST_ID_145</t>
  </si>
  <si>
    <t>CUST_ID_096</t>
  </si>
  <si>
    <t>Emily Phillips</t>
  </si>
  <si>
    <t>CUST_ID_019</t>
  </si>
  <si>
    <t>Jackson Martinez</t>
  </si>
  <si>
    <t>CUST_ID_125</t>
  </si>
  <si>
    <t>CUST_ID_073</t>
  </si>
  <si>
    <t>CUST_ID_138</t>
  </si>
  <si>
    <t>CUST_ID_120</t>
  </si>
  <si>
    <t>CUST_ID_139</t>
  </si>
  <si>
    <t>CUST_ID_150</t>
  </si>
  <si>
    <t>Harper Phillips</t>
  </si>
  <si>
    <t>CUST_ID_124</t>
  </si>
  <si>
    <t>CUST_ID_143</t>
  </si>
  <si>
    <t>CUST_ID_146</t>
  </si>
  <si>
    <t>CUST_ID_128</t>
  </si>
  <si>
    <t>CUST_ID_148</t>
  </si>
  <si>
    <t>CUST_ID_149</t>
  </si>
  <si>
    <t>CUST_ID_127</t>
  </si>
  <si>
    <t>CUST_ID_058</t>
  </si>
  <si>
    <t>CUST_ID_080</t>
  </si>
  <si>
    <t>CUST_ID_082</t>
  </si>
  <si>
    <t>Abigail Clark</t>
  </si>
  <si>
    <t>CUST_ID_084</t>
  </si>
  <si>
    <t>CUST_ID_088</t>
  </si>
  <si>
    <t>CUST_ID_101</t>
  </si>
  <si>
    <t>CUST_ID_102</t>
  </si>
  <si>
    <t>CUST_ID_126</t>
  </si>
  <si>
    <t>CUST_ID_076</t>
  </si>
  <si>
    <t>CUST_ID_142</t>
  </si>
  <si>
    <t>CUST_ID_144</t>
  </si>
  <si>
    <t>CUST_ID_106</t>
  </si>
  <si>
    <t>CUST_ID_109</t>
  </si>
  <si>
    <t>CUST_ID_134</t>
  </si>
  <si>
    <t>CUST_ID_131</t>
  </si>
  <si>
    <t>CUST_ID_132</t>
  </si>
  <si>
    <t>CUST_ID_022</t>
  </si>
  <si>
    <t>Emily Clark</t>
  </si>
  <si>
    <t>CUST_ID_119</t>
  </si>
  <si>
    <t>Row Labels</t>
  </si>
  <si>
    <t>Grand Total</t>
  </si>
  <si>
    <t>Sum of Net Sales</t>
  </si>
  <si>
    <t>Net Sales by Country</t>
  </si>
  <si>
    <t xml:space="preserve">Quarterly Net Sales </t>
  </si>
  <si>
    <t xml:space="preserve">Yearly Net Sales </t>
  </si>
  <si>
    <t>Profit by Segment</t>
  </si>
  <si>
    <t>Sum of Profit</t>
  </si>
  <si>
    <t>Profit by Country</t>
  </si>
  <si>
    <t>Unit Sold</t>
  </si>
  <si>
    <t>Unit sold by Segment</t>
  </si>
  <si>
    <t>Unit sold by Country</t>
  </si>
  <si>
    <t>Calculations</t>
  </si>
  <si>
    <t>Sum of Units Sold</t>
  </si>
  <si>
    <t>Revenue</t>
  </si>
  <si>
    <t>Profit %</t>
  </si>
  <si>
    <t>Budget</t>
  </si>
  <si>
    <t>Actual</t>
  </si>
  <si>
    <t>var %</t>
  </si>
  <si>
    <t xml:space="preserve">KPIs </t>
  </si>
  <si>
    <t>Target</t>
  </si>
  <si>
    <t>Profit Margin</t>
  </si>
  <si>
    <t>KPI's</t>
  </si>
  <si>
    <t>Revenue by Segment</t>
  </si>
  <si>
    <t>Revenue by Country</t>
  </si>
  <si>
    <t>Revenue by Product</t>
  </si>
  <si>
    <t>Monthly Revenue</t>
  </si>
  <si>
    <t>Unit sold by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</si>
</sst>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809]#,##0.00"/>
    <numFmt numFmtId="165" formatCode="[$£-809]#,##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s>
  <fills count="7">
    <fill>
      <patternFill patternType="none"/>
    </fill>
    <fill>
      <patternFill patternType="gray125"/>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theme="1" tint="0.249977111117893"/>
        <bgColor indexed="64"/>
      </patternFill>
    </fill>
    <fill>
      <patternFill patternType="solid">
        <fgColor theme="2" tint="-0.249977111117893"/>
        <bgColor indexed="64"/>
      </patternFill>
    </fill>
    <fill>
      <patternFill patternType="solid">
        <fgColor theme="4" tint="0.59999389629810485"/>
        <bgColor indexed="64"/>
      </patternFill>
    </fill>
  </fills>
  <borders count="3">
    <border>
      <left/>
      <right/>
      <top/>
      <bottom/>
      <diagonal/>
    </border>
    <border>
      <left/>
      <right style="thin">
        <color theme="9" tint="0.39997558519241921"/>
      </right>
      <top style="thin">
        <color theme="9" tint="0.39997558519241921"/>
      </top>
      <bottom style="thin">
        <color theme="9" tint="0.39997558519241921"/>
      </bottom>
      <diagonal/>
    </border>
    <border>
      <left/>
      <right/>
      <top style="thin">
        <color theme="4" tint="0.39997558519241921"/>
      </top>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14" fontId="0" fillId="0" borderId="0" xfId="0" applyNumberFormat="1"/>
    <xf numFmtId="0" fontId="0" fillId="2" borderId="1" xfId="0" applyFill="1" applyBorder="1"/>
    <xf numFmtId="0" fontId="0" fillId="0" borderId="1" xfId="0" applyBorder="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0" fontId="2" fillId="0" borderId="0" xfId="0" applyFont="1"/>
    <xf numFmtId="10" fontId="0" fillId="0" borderId="0" xfId="0" applyNumberFormat="1"/>
    <xf numFmtId="164" fontId="2" fillId="3" borderId="2" xfId="0" applyNumberFormat="1" applyFont="1" applyFill="1" applyBorder="1"/>
    <xf numFmtId="10" fontId="2" fillId="0" borderId="0" xfId="0" applyNumberFormat="1" applyFont="1"/>
    <xf numFmtId="0" fontId="0" fillId="4" borderId="0" xfId="0" applyFill="1"/>
    <xf numFmtId="165" fontId="0" fillId="0" borderId="0" xfId="0" applyNumberFormat="1"/>
    <xf numFmtId="2" fontId="0" fillId="0" borderId="0" xfId="0" applyNumberFormat="1"/>
    <xf numFmtId="9" fontId="0" fillId="0" borderId="0" xfId="1" applyFont="1"/>
    <xf numFmtId="0" fontId="2" fillId="5" borderId="0" xfId="0" applyFont="1" applyFill="1"/>
    <xf numFmtId="0" fontId="0" fillId="6" borderId="0" xfId="0" applyFill="1"/>
  </cellXfs>
  <cellStyles count="2">
    <cellStyle name="Normal" xfId="0" builtinId="0"/>
    <cellStyle name="Percent" xfId="1" builtinId="5"/>
  </cellStyles>
  <dxfs count="31">
    <dxf>
      <numFmt numFmtId="164" formatCode="[$£-809]#,##0.00"/>
    </dxf>
    <dxf>
      <numFmt numFmtId="164" formatCode="[$£-809]#,##0.00"/>
    </dxf>
    <dxf>
      <numFmt numFmtId="164" formatCode="[$£-809]#,##0.00"/>
    </dxf>
    <dxf>
      <numFmt numFmtId="164" formatCode="[$£-809]#,##0.00"/>
    </dxf>
    <dxf>
      <numFmt numFmtId="164" formatCode="[$£-809]#,##0.00"/>
    </dxf>
    <dxf>
      <numFmt numFmtId="164" formatCode="[$£-809]#,##0.00"/>
    </dxf>
    <dxf>
      <numFmt numFmtId="164" formatCode="[$£-809]#,##0.00"/>
    </dxf>
    <dxf>
      <numFmt numFmtId="164" formatCode="[$£-809]#,##0.00"/>
    </dxf>
    <dxf>
      <numFmt numFmtId="165" formatCode="[$£-809]#,##0"/>
    </dxf>
    <dxf>
      <numFmt numFmtId="164" formatCode="[$£-809]#,##0.00"/>
    </dxf>
    <dxf>
      <numFmt numFmtId="2" formatCode="0.00"/>
    </dxf>
    <dxf>
      <numFmt numFmtId="165" formatCode="[$£-809]#,##0"/>
    </dxf>
    <dxf>
      <numFmt numFmtId="165" formatCode="[$£-809]#,##0"/>
    </dxf>
    <dxf>
      <numFmt numFmtId="164" formatCode="[$£-809]#,##0.00"/>
    </dxf>
    <dxf>
      <numFmt numFmtId="164" formatCode="[$£-809]#,##0.0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theme="1"/>
        <name val="Calibri"/>
        <family val="2"/>
        <scheme val="minor"/>
      </font>
      <fill>
        <patternFill>
          <fgColor theme="0"/>
          <bgColor theme="0"/>
        </patternFill>
      </fill>
      <border diagonalUp="0" diagonalDown="0">
        <left/>
        <right/>
        <top/>
        <bottom/>
        <vertical/>
        <horizontal/>
      </border>
    </dxf>
    <dxf>
      <font>
        <name val="Calibri"/>
        <family val="2"/>
        <scheme val="minor"/>
      </font>
      <fill>
        <patternFill>
          <fgColor auto="1"/>
        </patternFill>
      </fill>
      <border diagonalUp="0" diagonalDown="0">
        <left/>
        <right/>
        <top/>
        <bottom/>
        <vertical/>
        <horizontal/>
      </border>
    </dxf>
  </dxfs>
  <tableStyles count="1" defaultTableStyle="TableStyleMedium2" defaultPivotStyle="PivotStyleLight16">
    <tableStyle name="Custom" pivot="0" table="0" count="10" xr9:uid="{BADB5AD6-A6DE-43E2-B822-21DE1488FFDE}">
      <tableStyleElement type="wholeTable" dxfId="30"/>
      <tableStyleElement type="headerRow" dxfId="29"/>
    </tableStyle>
  </tableStyles>
  <colors>
    <mruColors>
      <color rgb="FFDC7A58"/>
      <color rgb="FF287F71"/>
      <color rgb="FF0C7A58"/>
      <color rgb="FF106038"/>
      <color rgb="FF006600"/>
    </mruColors>
  </colors>
  <extLst>
    <ext xmlns:x14="http://schemas.microsoft.com/office/spreadsheetml/2009/9/main" uri="{46F421CA-312F-682f-3DD2-61675219B42D}">
      <x14:dxfs count="8">
        <dxf>
          <font>
            <color theme="0"/>
          </font>
          <fill>
            <patternFill patternType="solid">
              <fgColor auto="1"/>
              <bgColor theme="5"/>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rgb="FFDC7A58"/>
              <bgColor theme="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5"/>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theme="2" tint="-9.9917600024414813E-2"/>
              <bgColor rgb="FF287F71"/>
            </patternFill>
          </fill>
          <border diagonalUp="0" diagonalDown="0">
            <left/>
            <right/>
            <top/>
            <bottom/>
            <vertical/>
            <horizontal/>
          </border>
        </dxf>
        <dxf>
          <font>
            <color theme="0"/>
            <name val="Calibri"/>
            <family val="2"/>
            <scheme val="minor"/>
          </font>
          <fill>
            <patternFill patternType="solid">
              <fgColor rgb="FF0C7A58"/>
              <bgColor rgb="FF0C7A58"/>
            </patternFill>
          </fill>
          <border diagonalUp="0" diagonalDown="0">
            <left/>
            <right/>
            <top/>
            <bottom/>
            <vertical/>
            <horizontal/>
          </border>
        </dxf>
        <dxf>
          <font>
            <color theme="0"/>
          </font>
          <fill>
            <patternFill patternType="solid">
              <fgColor rgb="FFFFFFFF"/>
              <bgColor theme="0" tint="-0.24994659260841701"/>
            </patternFill>
          </fill>
          <border diagonalUp="0" diagonalDown="0">
            <left/>
            <right/>
            <top/>
            <bottom/>
            <vertical/>
            <horizontal/>
          </border>
        </dxf>
        <dxf>
          <font>
            <color theme="0"/>
          </font>
          <fill>
            <patternFill patternType="solid">
              <fgColor rgb="FFFFFFFF"/>
              <bgColor theme="0" tint="-0.2499465926084170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tom">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900"/>
              <a:t>MM</a:t>
            </a:r>
            <a:r>
              <a:rPr lang="en-IN"/>
              <a:t>'</a:t>
            </a:r>
          </a:p>
        </c:rich>
      </c:tx>
      <c:layout>
        <c:manualLayout>
          <c:xMode val="edge"/>
          <c:yMode val="edge"/>
          <c:x val="7.8779158756443063E-3"/>
          <c:y val="2.205627763110226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286694530568844E-2"/>
          <c:y val="0.18071894878524597"/>
          <c:w val="0.92071330546943098"/>
          <c:h val="0.67003339883415625"/>
        </c:manualLayout>
      </c:layout>
      <c:lineChart>
        <c:grouping val="standard"/>
        <c:varyColors val="0"/>
        <c:ser>
          <c:idx val="0"/>
          <c:order val="0"/>
          <c:tx>
            <c:v>Actual</c:v>
          </c:tx>
          <c:spPr>
            <a:ln w="28575" cap="rnd">
              <a:solidFill>
                <a:schemeClr val="accent1"/>
              </a:solidFill>
              <a:round/>
            </a:ln>
            <a:effectLst/>
          </c:spPr>
          <c:marker>
            <c:symbol val="none"/>
          </c:marker>
          <c:dLbls>
            <c:dLbl>
              <c:idx val="11"/>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E853-4A65-97CA-03C7F06E69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Analysis!$L$4:$L$15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Analysis!$M$4:$M$15</c:f>
              <c:numCache>
                <c:formatCode>[$£-809]#,##0.00</c:formatCode>
                <c:ptCount val="12"/>
                <c:pt idx="0">
                  <c:v>8187746.4500000002</c:v>
                </c:pt>
                <c:pt idx="1">
                  <c:v>7088801.4000000004</c:v>
                </c:pt>
                <c:pt idx="2">
                  <c:v>9021611.4999999981</c:v>
                </c:pt>
                <c:pt idx="3">
                  <c:v>9150553.8300000019</c:v>
                </c:pt>
                <c:pt idx="4">
                  <c:v>7541932.6899999995</c:v>
                </c:pt>
                <c:pt idx="5">
                  <c:v>6204363.0599999987</c:v>
                </c:pt>
                <c:pt idx="6">
                  <c:v>13467148.75</c:v>
                </c:pt>
                <c:pt idx="7">
                  <c:v>8964255.0500000026</c:v>
                </c:pt>
                <c:pt idx="8">
                  <c:v>7741911.7399999984</c:v>
                </c:pt>
                <c:pt idx="9">
                  <c:v>7036913.04</c:v>
                </c:pt>
                <c:pt idx="10">
                  <c:v>6343311.7199999988</c:v>
                </c:pt>
                <c:pt idx="11">
                  <c:v>10465679.710000003</c:v>
                </c:pt>
              </c:numCache>
            </c:numRef>
          </c:val>
          <c:smooth val="1"/>
          <c:extLst>
            <c:ext xmlns:c16="http://schemas.microsoft.com/office/drawing/2014/chart" uri="{C3380CC4-5D6E-409C-BE32-E72D297353CC}">
              <c16:uniqueId val="{00000000-E853-4A65-97CA-03C7F06E69AE}"/>
            </c:ext>
          </c:extLst>
        </c:ser>
        <c:ser>
          <c:idx val="1"/>
          <c:order val="1"/>
          <c:tx>
            <c:v>Target</c:v>
          </c:tx>
          <c:spPr>
            <a:ln w="28575" cap="rnd">
              <a:solidFill>
                <a:schemeClr val="accent2"/>
              </a:solidFill>
              <a:round/>
            </a:ln>
            <a:effectLst/>
          </c:spPr>
          <c:marker>
            <c:symbol val="none"/>
          </c:marker>
          <c:dLbls>
            <c:dLbl>
              <c:idx val="11"/>
              <c:layout>
                <c:manualLayout>
                  <c:x val="-2.7953879898501517E-2"/>
                  <c:y val="0.1512369929195282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E853-4A65-97CA-03C7F06E69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Analysis!$L$4:$L$15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Analysis!$N$4:$N$15</c:f>
              <c:numCache>
                <c:formatCode>[$£-809]#,##0.00</c:formatCode>
                <c:ptCount val="12"/>
                <c:pt idx="0">
                  <c:v>18300907.829999998</c:v>
                </c:pt>
                <c:pt idx="1">
                  <c:v>23544302.829999998</c:v>
                </c:pt>
                <c:pt idx="2">
                  <c:v>21303973.829999998</c:v>
                </c:pt>
                <c:pt idx="3">
                  <c:v>10611141.83</c:v>
                </c:pt>
                <c:pt idx="4">
                  <c:v>14661450.829999998</c:v>
                </c:pt>
                <c:pt idx="5">
                  <c:v>22614103.829999998</c:v>
                </c:pt>
                <c:pt idx="6">
                  <c:v>18334866.829999998</c:v>
                </c:pt>
                <c:pt idx="7">
                  <c:v>20514112.829999998</c:v>
                </c:pt>
                <c:pt idx="8">
                  <c:v>20199829.829999998</c:v>
                </c:pt>
                <c:pt idx="9">
                  <c:v>12194029.83</c:v>
                </c:pt>
                <c:pt idx="10">
                  <c:v>12337190.83</c:v>
                </c:pt>
                <c:pt idx="11">
                  <c:v>15522498.83</c:v>
                </c:pt>
              </c:numCache>
            </c:numRef>
          </c:val>
          <c:smooth val="1"/>
          <c:extLst>
            <c:ext xmlns:c16="http://schemas.microsoft.com/office/drawing/2014/chart" uri="{C3380CC4-5D6E-409C-BE32-E72D297353CC}">
              <c16:uniqueId val="{00000001-E853-4A65-97CA-03C7F06E69AE}"/>
            </c:ext>
          </c:extLst>
        </c:ser>
        <c:dLbls>
          <c:dLblPos val="t"/>
          <c:showLegendKey val="0"/>
          <c:showVal val="1"/>
          <c:showCatName val="0"/>
          <c:showSerName val="0"/>
          <c:showPercent val="0"/>
          <c:showBubbleSize val="0"/>
        </c:dLbls>
        <c:smooth val="0"/>
        <c:axId val="793771519"/>
        <c:axId val="793768639"/>
        <c:extLst>
          <c:ext xmlns:c15="http://schemas.microsoft.com/office/drawing/2012/chart" uri="{02D57815-91ED-43cb-92C2-25804820EDAC}">
            <c15:filteredLineSeries>
              <c15:ser>
                <c:idx val="2"/>
                <c:order val="2"/>
                <c:tx>
                  <c:v>Actual</c:v>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c:ext uri="{02D57815-91ED-43cb-92C2-25804820EDAC}">
                        <c15:formulaRef>
                          <c15:sqref>Analysis!$M$15</c15:sqref>
                        </c15:formulaRef>
                      </c:ext>
                    </c:extLst>
                    <c:numCache>
                      <c:formatCode>[$£-809]#,##0.00</c:formatCode>
                      <c:ptCount val="1"/>
                      <c:pt idx="0">
                        <c:v>10465679.710000003</c:v>
                      </c:pt>
                    </c:numCache>
                  </c:numRef>
                </c:val>
                <c:smooth val="0"/>
                <c:extLst>
                  <c:ext xmlns:c16="http://schemas.microsoft.com/office/drawing/2014/chart" uri="{C3380CC4-5D6E-409C-BE32-E72D297353CC}">
                    <c16:uniqueId val="{00000002-E853-4A65-97CA-03C7F06E69AE}"/>
                  </c:ext>
                </c:extLst>
              </c15:ser>
            </c15:filteredLineSeries>
            <c15:filteredLineSeries>
              <c15:ser>
                <c:idx val="3"/>
                <c:order val="3"/>
                <c:tx>
                  <c:v>Budget</c:v>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extLst xmlns:c15="http://schemas.microsoft.com/office/drawing/2012/chart">
                      <c:ext xmlns:c15="http://schemas.microsoft.com/office/drawing/2012/chart" uri="{02D57815-91ED-43cb-92C2-25804820EDAC}">
                        <c15:formulaRef>
                          <c15:sqref>Analysis!$N$15</c15:sqref>
                        </c15:formulaRef>
                      </c:ext>
                    </c:extLst>
                    <c:numCache>
                      <c:formatCode>[$£-809]#,##0.00</c:formatCode>
                      <c:ptCount val="1"/>
                      <c:pt idx="0">
                        <c:v>15522498.83</c:v>
                      </c:pt>
                    </c:numCache>
                  </c:numRef>
                </c:val>
                <c:smooth val="0"/>
                <c:extLst xmlns:c15="http://schemas.microsoft.com/office/drawing/2012/chart">
                  <c:ext xmlns:c16="http://schemas.microsoft.com/office/drawing/2014/chart" uri="{C3380CC4-5D6E-409C-BE32-E72D297353CC}">
                    <c16:uniqueId val="{00000003-E853-4A65-97CA-03C7F06E69AE}"/>
                  </c:ext>
                </c:extLst>
              </c15:ser>
            </c15:filteredLineSeries>
          </c:ext>
        </c:extLst>
      </c:lineChart>
      <c:catAx>
        <c:axId val="79377151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768639"/>
        <c:crosses val="autoZero"/>
        <c:auto val="1"/>
        <c:lblAlgn val="ctr"/>
        <c:lblOffset val="100"/>
        <c:noMultiLvlLbl val="0"/>
      </c:catAx>
      <c:valAx>
        <c:axId val="793768639"/>
        <c:scaling>
          <c:orientation val="minMax"/>
        </c:scaling>
        <c:delete val="0"/>
        <c:axPos val="l"/>
        <c:numFmt formatCode="[$£-8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771519"/>
        <c:crosses val="autoZero"/>
        <c:crossBetween val="between"/>
        <c:dispUnits>
          <c:builtInUnit val="millions"/>
        </c:dispUnits>
      </c:valAx>
      <c:spPr>
        <a:noFill/>
        <a:ln>
          <a:noFill/>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Dashboard.xlsm]Analysis!PivotTable4</c:name>
    <c:fmtId val="10"/>
  </c:pivotSource>
  <c:chart>
    <c:autoTitleDeleted val="1"/>
    <c:pivotFmts>
      <c:pivotFmt>
        <c:idx val="0"/>
        <c:spPr>
          <a:solidFill>
            <a:schemeClr val="accent1"/>
          </a:solidFill>
          <a:ln>
            <a:noFill/>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Analysis!$E$3</c:f>
              <c:strCache>
                <c:ptCount val="1"/>
                <c:pt idx="0">
                  <c:v>Total</c:v>
                </c:pt>
              </c:strCache>
            </c:strRef>
          </c:tx>
          <c:spPr>
            <a:solidFill>
              <a:schemeClr val="accent2"/>
            </a:solidFill>
            <a:ln>
              <a:noFill/>
            </a:ln>
            <a:effectLst/>
          </c:spPr>
          <c:invertIfNegative val="0"/>
          <c:dLbls>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Analysis!$D$4:$D$12</c:f>
              <c:strCache>
                <c:ptCount val="8"/>
                <c:pt idx="0">
                  <c:v>Canada</c:v>
                </c:pt>
                <c:pt idx="1">
                  <c:v>England</c:v>
                </c:pt>
                <c:pt idx="2">
                  <c:v>France</c:v>
                </c:pt>
                <c:pt idx="3">
                  <c:v>Germany</c:v>
                </c:pt>
                <c:pt idx="4">
                  <c:v>India</c:v>
                </c:pt>
                <c:pt idx="5">
                  <c:v>Italy</c:v>
                </c:pt>
                <c:pt idx="6">
                  <c:v>Japan</c:v>
                </c:pt>
                <c:pt idx="7">
                  <c:v>USA</c:v>
                </c:pt>
              </c:strCache>
            </c:strRef>
          </c:cat>
          <c:val>
            <c:numRef>
              <c:f>Analysis!$E$4:$E$12</c:f>
              <c:numCache>
                <c:formatCode>[$£-809]#,##0</c:formatCode>
                <c:ptCount val="8"/>
                <c:pt idx="0">
                  <c:v>9963640.8200000059</c:v>
                </c:pt>
                <c:pt idx="1">
                  <c:v>14410517.529999999</c:v>
                </c:pt>
                <c:pt idx="2">
                  <c:v>18298830.020000003</c:v>
                </c:pt>
                <c:pt idx="3">
                  <c:v>16232768.580000002</c:v>
                </c:pt>
                <c:pt idx="4">
                  <c:v>9656022.1999999974</c:v>
                </c:pt>
                <c:pt idx="5">
                  <c:v>11552162.890000001</c:v>
                </c:pt>
                <c:pt idx="6">
                  <c:v>10634337.130000001</c:v>
                </c:pt>
                <c:pt idx="7">
                  <c:v>10465949.770000001</c:v>
                </c:pt>
              </c:numCache>
            </c:numRef>
          </c:val>
          <c:extLst>
            <c:ext xmlns:c16="http://schemas.microsoft.com/office/drawing/2014/chart" uri="{C3380CC4-5D6E-409C-BE32-E72D297353CC}">
              <c16:uniqueId val="{00000000-DCE0-40C5-9540-E1834BAE75A3}"/>
            </c:ext>
          </c:extLst>
        </c:ser>
        <c:dLbls>
          <c:dLblPos val="outEnd"/>
          <c:showLegendKey val="0"/>
          <c:showVal val="1"/>
          <c:showCatName val="0"/>
          <c:showSerName val="0"/>
          <c:showPercent val="0"/>
          <c:showBubbleSize val="0"/>
        </c:dLbls>
        <c:gapWidth val="41"/>
        <c:overlap val="-30"/>
        <c:axId val="1056442015"/>
        <c:axId val="1056441055"/>
      </c:barChart>
      <c:catAx>
        <c:axId val="1056442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441055"/>
        <c:crosses val="autoZero"/>
        <c:auto val="1"/>
        <c:lblAlgn val="ctr"/>
        <c:lblOffset val="100"/>
        <c:noMultiLvlLbl val="0"/>
      </c:catAx>
      <c:valAx>
        <c:axId val="1056441055"/>
        <c:scaling>
          <c:orientation val="minMax"/>
        </c:scaling>
        <c:delete val="1"/>
        <c:axPos val="l"/>
        <c:numFmt formatCode="[$£-809]#,##0" sourceLinked="1"/>
        <c:majorTickMark val="none"/>
        <c:minorTickMark val="none"/>
        <c:tickLblPos val="nextTo"/>
        <c:crossAx val="1056442015"/>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Dashboard.xlsm]Analysis!PivotTable3</c:name>
    <c:fmtId val="4"/>
  </c:pivotSource>
  <c:chart>
    <c:autoTitleDeleted val="1"/>
    <c:pivotFmts>
      <c:pivotFmt>
        <c:idx val="0"/>
        <c:spPr>
          <a:solidFill>
            <a:schemeClr val="accent1"/>
          </a:solidFill>
          <a:ln w="28575" cap="rnd">
            <a:solidFill>
              <a:schemeClr val="accent6"/>
            </a:solidFill>
            <a:round/>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solidFill>
            <a:round/>
          </a:ln>
          <a:effectLst/>
        </c:spPr>
        <c:marker>
          <c:symbol val="none"/>
        </c:marker>
        <c:dLbl>
          <c:idx val="0"/>
          <c:layout>
            <c:manualLayout>
              <c:x val="8.3333333333333232E-2"/>
              <c:y val="-9.7222222222222224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6"/>
            </a:solidFill>
            <a:round/>
          </a:ln>
          <a:effectLst/>
        </c:spPr>
        <c:marker>
          <c:symbol val="none"/>
        </c:marker>
        <c:dLbl>
          <c:idx val="0"/>
          <c:layout>
            <c:manualLayout>
              <c:x val="-0.29166666666666669"/>
              <c:y val="0.23611111111111094"/>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6"/>
            </a:solidFill>
            <a:round/>
          </a:ln>
          <a:effectLst/>
        </c:spPr>
        <c:marker>
          <c:symbol val="none"/>
        </c:marker>
        <c:dLbl>
          <c:idx val="0"/>
          <c:layout>
            <c:manualLayout>
              <c:x val="0.13333333333333322"/>
              <c:y val="4.1666666666666664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6"/>
            </a:solidFill>
            <a:round/>
          </a:ln>
          <a:effectLst/>
        </c:spPr>
        <c:marker>
          <c:symbol val="none"/>
        </c:marker>
        <c:dLbl>
          <c:idx val="0"/>
          <c:layout>
            <c:manualLayout>
              <c:x val="0.11666666666666657"/>
              <c:y val="8.3333333333333412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solidFill>
            <a:round/>
          </a:ln>
          <a:effectLst/>
        </c:spPr>
        <c:marker>
          <c:symbol val="none"/>
        </c:marker>
        <c:dLbl>
          <c:idx val="0"/>
          <c:layout>
            <c:manualLayout>
              <c:x val="-0.2361111111111111"/>
              <c:y val="-0.19444444444444445"/>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6"/>
            </a:solidFill>
            <a:round/>
          </a:ln>
          <a:effectLst/>
        </c:spPr>
        <c:marker>
          <c:symbol val="none"/>
        </c:marker>
        <c:dLbl>
          <c:idx val="0"/>
          <c:layout>
            <c:manualLayout>
              <c:x val="0.13333333333333322"/>
              <c:y val="4.1666666666666664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6"/>
            </a:solidFill>
            <a:round/>
          </a:ln>
          <a:effectLst/>
        </c:spPr>
        <c:marker>
          <c:symbol val="none"/>
        </c:marker>
        <c:dLbl>
          <c:idx val="0"/>
          <c:layout>
            <c:manualLayout>
              <c:x val="8.3333333333333232E-2"/>
              <c:y val="-9.7222222222222224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6"/>
            </a:solidFill>
            <a:round/>
          </a:ln>
          <a:effectLst/>
        </c:spPr>
        <c:marker>
          <c:symbol val="none"/>
        </c:marker>
        <c:dLbl>
          <c:idx val="0"/>
          <c:layout>
            <c:manualLayout>
              <c:x val="0.11666666666666657"/>
              <c:y val="8.3333333333333412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6"/>
            </a:solidFill>
            <a:round/>
          </a:ln>
          <a:effectLst/>
        </c:spPr>
        <c:marker>
          <c:symbol val="none"/>
        </c:marker>
        <c:dLbl>
          <c:idx val="0"/>
          <c:layout>
            <c:manualLayout>
              <c:x val="-0.29166666666666669"/>
              <c:y val="0.23611111111111094"/>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6"/>
            </a:solidFill>
            <a:round/>
          </a:ln>
          <a:effectLst/>
        </c:spPr>
        <c:marker>
          <c:symbol val="none"/>
        </c:marker>
        <c:dLbl>
          <c:idx val="0"/>
          <c:layout>
            <c:manualLayout>
              <c:x val="-0.2361111111111111"/>
              <c:y val="-0.19444444444444445"/>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41275" cap="rnd">
            <a:solidFill>
              <a:schemeClr val="accent6"/>
            </a:solidFill>
            <a:round/>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41275" cap="rnd">
            <a:solidFill>
              <a:schemeClr val="accent6"/>
            </a:solidFill>
            <a:round/>
          </a:ln>
          <a:effectLst/>
        </c:spPr>
        <c:marker>
          <c:symbol val="none"/>
        </c:marker>
        <c:dLbl>
          <c:idx val="0"/>
          <c:layout>
            <c:manualLayout>
              <c:x val="0.13333333333333322"/>
              <c:y val="4.1666666666666664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ln w="41275" cap="rnd">
            <a:solidFill>
              <a:schemeClr val="accent6"/>
            </a:solidFill>
            <a:round/>
          </a:ln>
          <a:effectLst/>
        </c:spPr>
        <c:marker>
          <c:symbol val="none"/>
        </c:marker>
        <c:dLbl>
          <c:idx val="0"/>
          <c:layout>
            <c:manualLayout>
              <c:x val="8.3333333333333232E-2"/>
              <c:y val="-9.7222222222222224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41275" cap="rnd">
            <a:solidFill>
              <a:schemeClr val="accent6"/>
            </a:solidFill>
            <a:round/>
          </a:ln>
          <a:effectLst/>
        </c:spPr>
        <c:marker>
          <c:symbol val="none"/>
        </c:marker>
        <c:dLbl>
          <c:idx val="0"/>
          <c:layout>
            <c:manualLayout>
              <c:x val="0.11666666666666657"/>
              <c:y val="8.3333333333333412E-2"/>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41275" cap="rnd">
            <a:solidFill>
              <a:schemeClr val="accent6"/>
            </a:solidFill>
            <a:round/>
          </a:ln>
          <a:effectLst/>
        </c:spPr>
        <c:marker>
          <c:symbol val="none"/>
        </c:marker>
        <c:dLbl>
          <c:idx val="0"/>
          <c:layout>
            <c:manualLayout>
              <c:x val="-0.33729961304588169"/>
              <c:y val="0.19502823844431585"/>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41275" cap="rnd">
            <a:solidFill>
              <a:schemeClr val="accent6"/>
            </a:solidFill>
            <a:round/>
          </a:ln>
          <a:effectLst/>
        </c:spPr>
        <c:marker>
          <c:symbol val="none"/>
        </c:marker>
        <c:dLbl>
          <c:idx val="0"/>
          <c:layout>
            <c:manualLayout>
              <c:x val="-0.2361111111111111"/>
              <c:y val="-0.19444444444444445"/>
            </c:manualLayout>
          </c:layout>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923079049198452"/>
          <c:y val="9.1687299109155629E-2"/>
          <c:w val="0.58224378109452735"/>
          <c:h val="0.87032798001817191"/>
        </c:manualLayout>
      </c:layout>
      <c:radarChart>
        <c:radarStyle val="marker"/>
        <c:varyColors val="0"/>
        <c:ser>
          <c:idx val="0"/>
          <c:order val="0"/>
          <c:tx>
            <c:strRef>
              <c:f>Analysis!$B$3</c:f>
              <c:strCache>
                <c:ptCount val="1"/>
                <c:pt idx="0">
                  <c:v>Total</c:v>
                </c:pt>
              </c:strCache>
            </c:strRef>
          </c:tx>
          <c:spPr>
            <a:ln w="41275" cap="rnd">
              <a:solidFill>
                <a:schemeClr val="accent6"/>
              </a:solidFill>
              <a:round/>
            </a:ln>
            <a:effectLst/>
          </c:spPr>
          <c:marker>
            <c:symbol val="none"/>
          </c:marker>
          <c:dPt>
            <c:idx val="0"/>
            <c:marker>
              <c:symbol val="none"/>
            </c:marker>
            <c:bubble3D val="0"/>
            <c:spPr>
              <a:ln w="41275" cap="rnd">
                <a:solidFill>
                  <a:schemeClr val="accent6"/>
                </a:solidFill>
                <a:round/>
              </a:ln>
              <a:effectLst/>
            </c:spPr>
            <c:extLst>
              <c:ext xmlns:c16="http://schemas.microsoft.com/office/drawing/2014/chart" uri="{C3380CC4-5D6E-409C-BE32-E72D297353CC}">
                <c16:uniqueId val="{00000000-7103-4D65-BAF7-A7C4C5809137}"/>
              </c:ext>
            </c:extLst>
          </c:dPt>
          <c:dPt>
            <c:idx val="1"/>
            <c:marker>
              <c:symbol val="none"/>
            </c:marker>
            <c:bubble3D val="0"/>
            <c:spPr>
              <a:ln w="41275" cap="rnd">
                <a:solidFill>
                  <a:schemeClr val="accent6"/>
                </a:solidFill>
                <a:round/>
              </a:ln>
              <a:effectLst/>
            </c:spPr>
            <c:extLst>
              <c:ext xmlns:c16="http://schemas.microsoft.com/office/drawing/2014/chart" uri="{C3380CC4-5D6E-409C-BE32-E72D297353CC}">
                <c16:uniqueId val="{00000001-7103-4D65-BAF7-A7C4C5809137}"/>
              </c:ext>
            </c:extLst>
          </c:dPt>
          <c:dPt>
            <c:idx val="2"/>
            <c:marker>
              <c:symbol val="none"/>
            </c:marker>
            <c:bubble3D val="0"/>
            <c:spPr>
              <a:ln w="41275" cap="rnd">
                <a:solidFill>
                  <a:schemeClr val="accent6"/>
                </a:solidFill>
                <a:round/>
              </a:ln>
              <a:effectLst/>
            </c:spPr>
            <c:extLst>
              <c:ext xmlns:c16="http://schemas.microsoft.com/office/drawing/2014/chart" uri="{C3380CC4-5D6E-409C-BE32-E72D297353CC}">
                <c16:uniqueId val="{00000002-7103-4D65-BAF7-A7C4C5809137}"/>
              </c:ext>
            </c:extLst>
          </c:dPt>
          <c:dPt>
            <c:idx val="3"/>
            <c:marker>
              <c:symbol val="none"/>
            </c:marker>
            <c:bubble3D val="0"/>
            <c:spPr>
              <a:ln w="41275" cap="rnd">
                <a:solidFill>
                  <a:schemeClr val="accent6"/>
                </a:solidFill>
                <a:round/>
              </a:ln>
              <a:effectLst/>
            </c:spPr>
            <c:extLst>
              <c:ext xmlns:c16="http://schemas.microsoft.com/office/drawing/2014/chart" uri="{C3380CC4-5D6E-409C-BE32-E72D297353CC}">
                <c16:uniqueId val="{00000003-7103-4D65-BAF7-A7C4C5809137}"/>
              </c:ext>
            </c:extLst>
          </c:dPt>
          <c:dPt>
            <c:idx val="4"/>
            <c:marker>
              <c:symbol val="none"/>
            </c:marker>
            <c:bubble3D val="0"/>
            <c:spPr>
              <a:ln w="41275" cap="rnd">
                <a:solidFill>
                  <a:schemeClr val="accent6"/>
                </a:solidFill>
                <a:round/>
              </a:ln>
              <a:effectLst/>
            </c:spPr>
            <c:extLst>
              <c:ext xmlns:c16="http://schemas.microsoft.com/office/drawing/2014/chart" uri="{C3380CC4-5D6E-409C-BE32-E72D297353CC}">
                <c16:uniqueId val="{00000004-7103-4D65-BAF7-A7C4C5809137}"/>
              </c:ext>
            </c:extLst>
          </c:dPt>
          <c:dLbls>
            <c:dLbl>
              <c:idx val="0"/>
              <c:layout>
                <c:manualLayout>
                  <c:x val="0.1333333333333332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103-4D65-BAF7-A7C4C5809137}"/>
                </c:ext>
              </c:extLst>
            </c:dLbl>
            <c:dLbl>
              <c:idx val="1"/>
              <c:layout>
                <c:manualLayout>
                  <c:x val="8.3333333333333232E-2"/>
                  <c:y val="-9.7222222222222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103-4D65-BAF7-A7C4C5809137}"/>
                </c:ext>
              </c:extLst>
            </c:dLbl>
            <c:dLbl>
              <c:idx val="2"/>
              <c:layout>
                <c:manualLayout>
                  <c:x val="0.11666666666666657"/>
                  <c:y val="8.33333333333334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103-4D65-BAF7-A7C4C5809137}"/>
                </c:ext>
              </c:extLst>
            </c:dLbl>
            <c:dLbl>
              <c:idx val="3"/>
              <c:layout>
                <c:manualLayout>
                  <c:x val="-0.33729961304588169"/>
                  <c:y val="0.195028238444315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103-4D65-BAF7-A7C4C5809137}"/>
                </c:ext>
              </c:extLst>
            </c:dLbl>
            <c:dLbl>
              <c:idx val="4"/>
              <c:layout>
                <c:manualLayout>
                  <c:x val="-0.2361111111111111"/>
                  <c:y val="-0.194444444444444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103-4D65-BAF7-A7C4C5809137}"/>
                </c:ext>
              </c:extLst>
            </c:dLbl>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Analysis!$A$4:$A$9</c:f>
              <c:strCache>
                <c:ptCount val="5"/>
                <c:pt idx="0">
                  <c:v>Government</c:v>
                </c:pt>
                <c:pt idx="1">
                  <c:v>Small Business</c:v>
                </c:pt>
                <c:pt idx="2">
                  <c:v>Enterprise</c:v>
                </c:pt>
                <c:pt idx="3">
                  <c:v>Midmarket</c:v>
                </c:pt>
                <c:pt idx="4">
                  <c:v>Channel Partners</c:v>
                </c:pt>
              </c:strCache>
            </c:strRef>
          </c:cat>
          <c:val>
            <c:numRef>
              <c:f>Analysis!$B$4:$B$9</c:f>
              <c:numCache>
                <c:formatCode>[$£-809]#,##0</c:formatCode>
                <c:ptCount val="5"/>
                <c:pt idx="0">
                  <c:v>45753640.510000013</c:v>
                </c:pt>
                <c:pt idx="1">
                  <c:v>31978269</c:v>
                </c:pt>
                <c:pt idx="2">
                  <c:v>19463260.240000006</c:v>
                </c:pt>
                <c:pt idx="3">
                  <c:v>2397634.31</c:v>
                </c:pt>
                <c:pt idx="4">
                  <c:v>1621424.8800000013</c:v>
                </c:pt>
              </c:numCache>
            </c:numRef>
          </c:val>
          <c:extLst>
            <c:ext xmlns:c16="http://schemas.microsoft.com/office/drawing/2014/chart" uri="{C3380CC4-5D6E-409C-BE32-E72D297353CC}">
              <c16:uniqueId val="{00000005-7103-4D65-BAF7-A7C4C5809137}"/>
            </c:ext>
          </c:extLst>
        </c:ser>
        <c:dLbls>
          <c:showLegendKey val="0"/>
          <c:showVal val="1"/>
          <c:showCatName val="0"/>
          <c:showSerName val="0"/>
          <c:showPercent val="0"/>
          <c:showBubbleSize val="0"/>
        </c:dLbls>
        <c:axId val="1056426655"/>
        <c:axId val="1056431935"/>
      </c:radarChart>
      <c:catAx>
        <c:axId val="1056426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431935"/>
        <c:crosses val="autoZero"/>
        <c:auto val="1"/>
        <c:lblAlgn val="ctr"/>
        <c:lblOffset val="100"/>
        <c:noMultiLvlLbl val="0"/>
      </c:catAx>
      <c:valAx>
        <c:axId val="1056431935"/>
        <c:scaling>
          <c:orientation val="minMax"/>
        </c:scaling>
        <c:delete val="1"/>
        <c:axPos val="l"/>
        <c:majorGridlines>
          <c:spPr>
            <a:ln w="28575" cap="flat" cmpd="sng" algn="ctr">
              <a:solidFill>
                <a:schemeClr val="accent2">
                  <a:alpha val="61000"/>
                </a:schemeClr>
              </a:solidFill>
              <a:round/>
            </a:ln>
            <a:effectLst/>
          </c:spPr>
        </c:majorGridlines>
        <c:numFmt formatCode="[$£-809]#,##0" sourceLinked="1"/>
        <c:majorTickMark val="none"/>
        <c:minorTickMark val="none"/>
        <c:tickLblPos val="nextTo"/>
        <c:crossAx val="1056426655"/>
        <c:crosses val="autoZero"/>
        <c:crossBetween val="between"/>
        <c:dispUnits>
          <c:builtInUnit val="millions"/>
          <c:dispUnitsLbl>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a:softEdge rad="152400"/>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Dashboard.xlsm]Analysis!PivotTable15</c:name>
    <c:fmtId val="4"/>
  </c:pivotSource>
  <c:chart>
    <c:autoTitleDeleted val="1"/>
    <c:pivotFmts>
      <c:pivotFmt>
        <c:idx val="0"/>
        <c:spPr>
          <a:solidFill>
            <a:schemeClr val="accent1"/>
          </a:solidFill>
          <a:ln>
            <a:noFill/>
          </a:ln>
          <a:effectLst/>
        </c:spPr>
        <c:marker>
          <c:symbol val="none"/>
        </c:marker>
        <c:dLbl>
          <c:idx val="0"/>
          <c:numFmt formatCode="\£#&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numFmt formatCode="\£#&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Analysis!$H$39</c:f>
              <c:strCache>
                <c:ptCount val="1"/>
                <c:pt idx="0">
                  <c:v>Total</c:v>
                </c:pt>
              </c:strCache>
            </c:strRef>
          </c:tx>
          <c:spPr>
            <a:solidFill>
              <a:schemeClr val="accent6"/>
            </a:solidFill>
            <a:ln>
              <a:noFill/>
            </a:ln>
            <a:effectLst/>
          </c:spPr>
          <c:invertIfNegative val="0"/>
          <c:dLbls>
            <c:numFmt formatCode="\£#&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Analysis!$G$40:$G$46</c:f>
              <c:strCache>
                <c:ptCount val="6"/>
                <c:pt idx="0">
                  <c:v>Speedster</c:v>
                </c:pt>
                <c:pt idx="1">
                  <c:v>X-Terrain</c:v>
                </c:pt>
                <c:pt idx="2">
                  <c:v>Yellow Edition</c:v>
                </c:pt>
                <c:pt idx="3">
                  <c:v>Road Racer</c:v>
                </c:pt>
                <c:pt idx="4">
                  <c:v>Trail Master</c:v>
                </c:pt>
                <c:pt idx="5">
                  <c:v>City Cruiser</c:v>
                </c:pt>
              </c:strCache>
            </c:strRef>
          </c:cat>
          <c:val>
            <c:numRef>
              <c:f>Analysis!$H$40:$H$46</c:f>
              <c:numCache>
                <c:formatCode>[$£-809]#,##0.00</c:formatCode>
                <c:ptCount val="6"/>
                <c:pt idx="0">
                  <c:v>83130</c:v>
                </c:pt>
                <c:pt idx="1">
                  <c:v>83879</c:v>
                </c:pt>
                <c:pt idx="2">
                  <c:v>84920</c:v>
                </c:pt>
                <c:pt idx="3">
                  <c:v>94760</c:v>
                </c:pt>
                <c:pt idx="4">
                  <c:v>97691</c:v>
                </c:pt>
                <c:pt idx="5">
                  <c:v>214800</c:v>
                </c:pt>
              </c:numCache>
            </c:numRef>
          </c:val>
          <c:extLst>
            <c:ext xmlns:c16="http://schemas.microsoft.com/office/drawing/2014/chart" uri="{C3380CC4-5D6E-409C-BE32-E72D297353CC}">
              <c16:uniqueId val="{00000000-F5D2-49DB-8394-4BF000164E9A}"/>
            </c:ext>
          </c:extLst>
        </c:ser>
        <c:dLbls>
          <c:dLblPos val="outEnd"/>
          <c:showLegendKey val="0"/>
          <c:showVal val="1"/>
          <c:showCatName val="0"/>
          <c:showSerName val="0"/>
          <c:showPercent val="0"/>
          <c:showBubbleSize val="0"/>
        </c:dLbls>
        <c:gapWidth val="70"/>
        <c:axId val="1221002384"/>
        <c:axId val="1220999024"/>
      </c:barChart>
      <c:catAx>
        <c:axId val="1221002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999024"/>
        <c:crosses val="autoZero"/>
        <c:auto val="1"/>
        <c:lblAlgn val="ctr"/>
        <c:lblOffset val="100"/>
        <c:noMultiLvlLbl val="0"/>
      </c:catAx>
      <c:valAx>
        <c:axId val="1220999024"/>
        <c:scaling>
          <c:orientation val="minMax"/>
        </c:scaling>
        <c:delete val="1"/>
        <c:axPos val="b"/>
        <c:numFmt formatCode="[$£-809]#,##0.00" sourceLinked="1"/>
        <c:majorTickMark val="none"/>
        <c:minorTickMark val="none"/>
        <c:tickLblPos val="nextTo"/>
        <c:crossAx val="122100238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Dashboard.xlsm]Analysis!PivotTable14</c:name>
    <c:fmtId val="3"/>
  </c:pivotSource>
  <c:chart>
    <c:autoTitleDeleted val="1"/>
    <c:pivotFmts>
      <c:pivotFmt>
        <c:idx val="0"/>
        <c:spPr>
          <a:solidFill>
            <a:schemeClr val="accent2"/>
          </a:solidFill>
          <a:ln>
            <a:noFill/>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AD47"/>
          </a:solidFill>
          <a:ln>
            <a:noFill/>
          </a:ln>
          <a:effectLst/>
        </c:spPr>
        <c:marker>
          <c:symbol val="none"/>
        </c:marker>
        <c:dLbl>
          <c:idx val="0"/>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4444193156422E-2"/>
          <c:y val="7.2942167155524984E-2"/>
          <c:w val="0.94255555806843583"/>
          <c:h val="0.87655940942911159"/>
        </c:manualLayout>
      </c:layout>
      <c:barChart>
        <c:barDir val="bar"/>
        <c:grouping val="clustered"/>
        <c:varyColors val="0"/>
        <c:ser>
          <c:idx val="0"/>
          <c:order val="0"/>
          <c:tx>
            <c:strRef>
              <c:f>Analysis!$H$23</c:f>
              <c:strCache>
                <c:ptCount val="1"/>
                <c:pt idx="0">
                  <c:v>Total</c:v>
                </c:pt>
              </c:strCache>
            </c:strRef>
          </c:tx>
          <c:spPr>
            <a:solidFill>
              <a:srgbClr val="70AD47"/>
            </a:solidFill>
            <a:ln>
              <a:noFill/>
            </a:ln>
            <a:effectLst/>
          </c:spPr>
          <c:invertIfNegative val="1"/>
          <c:dLbls>
            <c:numFmt formatCode="\£#&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Analysis!$G$24:$G$30</c:f>
              <c:strCache>
                <c:ptCount val="6"/>
                <c:pt idx="0">
                  <c:v>City Cruiser</c:v>
                </c:pt>
                <c:pt idx="1">
                  <c:v>Road Racer</c:v>
                </c:pt>
                <c:pt idx="2">
                  <c:v>Speedster</c:v>
                </c:pt>
                <c:pt idx="3">
                  <c:v>Trail Master</c:v>
                </c:pt>
                <c:pt idx="4">
                  <c:v>X-Terrain</c:v>
                </c:pt>
                <c:pt idx="5">
                  <c:v>Yellow Edition</c:v>
                </c:pt>
              </c:strCache>
            </c:strRef>
          </c:cat>
          <c:val>
            <c:numRef>
              <c:f>Analysis!$H$24:$H$30</c:f>
              <c:numCache>
                <c:formatCode>[$£-809]#,##0.00</c:formatCode>
                <c:ptCount val="6"/>
                <c:pt idx="0">
                  <c:v>31694508.960000008</c:v>
                </c:pt>
                <c:pt idx="1">
                  <c:v>14265584.900000002</c:v>
                </c:pt>
                <c:pt idx="2">
                  <c:v>-2020822.7100000002</c:v>
                </c:pt>
                <c:pt idx="3">
                  <c:v>-12891877.109999998</c:v>
                </c:pt>
                <c:pt idx="4">
                  <c:v>12207584.140000001</c:v>
                </c:pt>
                <c:pt idx="5">
                  <c:v>-15067131.240000002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2900-4A8C-B919-ADB6CE8DC206}"/>
            </c:ext>
          </c:extLst>
        </c:ser>
        <c:dLbls>
          <c:showLegendKey val="0"/>
          <c:showVal val="0"/>
          <c:showCatName val="0"/>
          <c:showSerName val="0"/>
          <c:showPercent val="0"/>
          <c:showBubbleSize val="0"/>
        </c:dLbls>
        <c:gapWidth val="62"/>
        <c:axId val="1056448735"/>
        <c:axId val="1056449215"/>
      </c:barChart>
      <c:catAx>
        <c:axId val="10564487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449215"/>
        <c:crosses val="autoZero"/>
        <c:auto val="1"/>
        <c:lblAlgn val="ctr"/>
        <c:lblOffset val="100"/>
        <c:noMultiLvlLbl val="0"/>
      </c:catAx>
      <c:valAx>
        <c:axId val="1056449215"/>
        <c:scaling>
          <c:orientation val="minMax"/>
        </c:scaling>
        <c:delete val="1"/>
        <c:axPos val="b"/>
        <c:numFmt formatCode="[$£-809]#,##0.00" sourceLinked="1"/>
        <c:majorTickMark val="none"/>
        <c:minorTickMark val="none"/>
        <c:tickLblPos val="nextTo"/>
        <c:crossAx val="1056448735"/>
        <c:crosses val="autoZero"/>
        <c:crossBetween val="between"/>
        <c:dispUnits>
          <c:builtInUnit val="millions"/>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3.xml"/><Relationship Id="rId3" Type="http://schemas.openxmlformats.org/officeDocument/2006/relationships/image" Target="../media/image3.emf"/><Relationship Id="rId7" Type="http://schemas.openxmlformats.org/officeDocument/2006/relationships/image" Target="../media/image7.png"/><Relationship Id="rId12" Type="http://schemas.openxmlformats.org/officeDocument/2006/relationships/chart" Target="../charts/chart2.xml"/><Relationship Id="rId17"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image" Target="../media/image11.pn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chart" Target="../charts/chart1.xml"/><Relationship Id="rId5" Type="http://schemas.openxmlformats.org/officeDocument/2006/relationships/image" Target="../media/image5.emf"/><Relationship Id="rId15" Type="http://schemas.openxmlformats.org/officeDocument/2006/relationships/chart" Target="../charts/chart5.xml"/><Relationship Id="rId10" Type="http://schemas.openxmlformats.org/officeDocument/2006/relationships/image" Target="../media/image10.sv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2</xdr:col>
      <xdr:colOff>0</xdr:colOff>
      <xdr:row>0</xdr:row>
      <xdr:rowOff>0</xdr:rowOff>
    </xdr:from>
    <xdr:to>
      <xdr:col>27</xdr:col>
      <xdr:colOff>58556</xdr:colOff>
      <xdr:row>48</xdr:row>
      <xdr:rowOff>20211</xdr:rowOff>
    </xdr:to>
    <xdr:sp macro="" textlink="">
      <xdr:nvSpPr>
        <xdr:cNvPr id="7" name="Rectangle: Rounded Corners 6">
          <a:extLst>
            <a:ext uri="{FF2B5EF4-FFF2-40B4-BE49-F238E27FC236}">
              <a16:creationId xmlns:a16="http://schemas.microsoft.com/office/drawing/2014/main" id="{D39AFC60-CC5B-6171-BF55-8BAE241469C8}"/>
            </a:ext>
          </a:extLst>
        </xdr:cNvPr>
        <xdr:cNvSpPr/>
      </xdr:nvSpPr>
      <xdr:spPr>
        <a:xfrm>
          <a:off x="1209524" y="0"/>
          <a:ext cx="15177603" cy="8728782"/>
        </a:xfrm>
        <a:prstGeom prst="roundRect">
          <a:avLst>
            <a:gd name="adj" fmla="val 4207"/>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2</xdr:col>
      <xdr:colOff>334223</xdr:colOff>
      <xdr:row>2</xdr:row>
      <xdr:rowOff>14777</xdr:rowOff>
    </xdr:from>
    <xdr:to>
      <xdr:col>5</xdr:col>
      <xdr:colOff>493890</xdr:colOff>
      <xdr:row>46</xdr:row>
      <xdr:rowOff>2</xdr:rowOff>
    </xdr:to>
    <xdr:sp macro="" textlink="">
      <xdr:nvSpPr>
        <xdr:cNvPr id="8" name="Rectangle: Top Corners Rounded 7">
          <a:extLst>
            <a:ext uri="{FF2B5EF4-FFF2-40B4-BE49-F238E27FC236}">
              <a16:creationId xmlns:a16="http://schemas.microsoft.com/office/drawing/2014/main" id="{2A327A1A-45C6-C181-55E3-BCD452A34648}"/>
            </a:ext>
          </a:extLst>
        </xdr:cNvPr>
        <xdr:cNvSpPr/>
      </xdr:nvSpPr>
      <xdr:spPr>
        <a:xfrm rot="16200000">
          <a:off x="-1453317" y="3374698"/>
          <a:ext cx="7968082" cy="1973953"/>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162126</xdr:colOff>
      <xdr:row>2</xdr:row>
      <xdr:rowOff>0</xdr:rowOff>
    </xdr:from>
    <xdr:to>
      <xdr:col>26</xdr:col>
      <xdr:colOff>372151</xdr:colOff>
      <xdr:row>6</xdr:row>
      <xdr:rowOff>132704</xdr:rowOff>
    </xdr:to>
    <xdr:sp macro="" textlink="">
      <xdr:nvSpPr>
        <xdr:cNvPr id="9" name="Rectangle: Rounded Corners 8">
          <a:extLst>
            <a:ext uri="{FF2B5EF4-FFF2-40B4-BE49-F238E27FC236}">
              <a16:creationId xmlns:a16="http://schemas.microsoft.com/office/drawing/2014/main" id="{7973D457-C5EF-A5CE-469B-F29538967793}"/>
            </a:ext>
          </a:extLst>
        </xdr:cNvPr>
        <xdr:cNvSpPr/>
      </xdr:nvSpPr>
      <xdr:spPr>
        <a:xfrm>
          <a:off x="3809998" y="378298"/>
          <a:ext cx="12369600" cy="8893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chemeClr val="lt1"/>
              </a:solidFill>
              <a:latin typeface="+mn-lt"/>
              <a:ea typeface="+mn-ea"/>
              <a:cs typeface="+mn-cs"/>
            </a:rPr>
            <a:t>Sales</a:t>
          </a:r>
          <a:r>
            <a:rPr lang="en-IN" sz="1100" baseline="0">
              <a:solidFill>
                <a:schemeClr val="lt1"/>
              </a:solidFill>
              <a:latin typeface="+mn-lt"/>
              <a:ea typeface="+mn-ea"/>
              <a:cs typeface="+mn-cs"/>
            </a:rPr>
            <a:t> </a:t>
          </a:r>
          <a:endParaRPr lang="en-IN" sz="1100">
            <a:solidFill>
              <a:schemeClr val="lt1"/>
            </a:solidFill>
            <a:latin typeface="+mn-lt"/>
            <a:ea typeface="+mn-ea"/>
            <a:cs typeface="+mn-cs"/>
          </a:endParaRPr>
        </a:p>
      </xdr:txBody>
    </xdr:sp>
    <xdr:clientData/>
  </xdr:twoCellAnchor>
  <xdr:twoCellAnchor>
    <xdr:from>
      <xdr:col>7</xdr:col>
      <xdr:colOff>493888</xdr:colOff>
      <xdr:row>3</xdr:row>
      <xdr:rowOff>0</xdr:rowOff>
    </xdr:from>
    <xdr:to>
      <xdr:col>15</xdr:col>
      <xdr:colOff>189195</xdr:colOff>
      <xdr:row>6</xdr:row>
      <xdr:rowOff>0</xdr:rowOff>
    </xdr:to>
    <xdr:sp macro="" textlink="">
      <xdr:nvSpPr>
        <xdr:cNvPr id="38" name="TextBox 37">
          <a:extLst>
            <a:ext uri="{FF2B5EF4-FFF2-40B4-BE49-F238E27FC236}">
              <a16:creationId xmlns:a16="http://schemas.microsoft.com/office/drawing/2014/main" id="{0CDB19CF-C4DA-202D-C794-BE32CD5D6C3B}"/>
            </a:ext>
          </a:extLst>
        </xdr:cNvPr>
        <xdr:cNvSpPr txBox="1"/>
      </xdr:nvSpPr>
      <xdr:spPr>
        <a:xfrm>
          <a:off x="4727221" y="544286"/>
          <a:ext cx="4533403" cy="5442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t>SALES</a:t>
          </a:r>
          <a:r>
            <a:rPr lang="en-IN" sz="2800" b="1" baseline="0"/>
            <a:t> DASHBOARD</a:t>
          </a:r>
          <a:endParaRPr lang="en-IN" sz="2800" b="1"/>
        </a:p>
      </xdr:txBody>
    </xdr:sp>
    <xdr:clientData/>
  </xdr:twoCellAnchor>
  <xdr:twoCellAnchor editAs="oneCell">
    <xdr:from>
      <xdr:col>6</xdr:col>
      <xdr:colOff>366888</xdr:colOff>
      <xdr:row>2</xdr:row>
      <xdr:rowOff>150578</xdr:rowOff>
    </xdr:from>
    <xdr:to>
      <xdr:col>7</xdr:col>
      <xdr:colOff>343311</xdr:colOff>
      <xdr:row>6</xdr:row>
      <xdr:rowOff>0</xdr:rowOff>
    </xdr:to>
    <xdr:pic>
      <xdr:nvPicPr>
        <xdr:cNvPr id="44" name="Graphic 43" descr="Home with solid fill">
          <a:extLst>
            <a:ext uri="{FF2B5EF4-FFF2-40B4-BE49-F238E27FC236}">
              <a16:creationId xmlns:a16="http://schemas.microsoft.com/office/drawing/2014/main" id="{F0C5C4C4-520D-35F2-52A5-4834C1D12C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007555" y="517467"/>
          <a:ext cx="583200" cy="583200"/>
        </a:xfrm>
        <a:prstGeom prst="rect">
          <a:avLst/>
        </a:prstGeom>
      </xdr:spPr>
    </xdr:pic>
    <xdr:clientData/>
  </xdr:twoCellAnchor>
  <xdr:twoCellAnchor>
    <xdr:from>
      <xdr:col>6</xdr:col>
      <xdr:colOff>141110</xdr:colOff>
      <xdr:row>7</xdr:row>
      <xdr:rowOff>98013</xdr:rowOff>
    </xdr:from>
    <xdr:to>
      <xdr:col>11</xdr:col>
      <xdr:colOff>0</xdr:colOff>
      <xdr:row>14</xdr:row>
      <xdr:rowOff>137524</xdr:rowOff>
    </xdr:to>
    <xdr:grpSp>
      <xdr:nvGrpSpPr>
        <xdr:cNvPr id="67" name="Group 66">
          <a:extLst>
            <a:ext uri="{FF2B5EF4-FFF2-40B4-BE49-F238E27FC236}">
              <a16:creationId xmlns:a16="http://schemas.microsoft.com/office/drawing/2014/main" id="{1803F1D5-46A4-3D8E-06AF-4528E7CBE004}"/>
            </a:ext>
          </a:extLst>
        </xdr:cNvPr>
        <xdr:cNvGrpSpPr/>
      </xdr:nvGrpSpPr>
      <xdr:grpSpPr>
        <a:xfrm>
          <a:off x="3824110" y="1357430"/>
          <a:ext cx="2928057" cy="1298927"/>
          <a:chOff x="3785458" y="1316873"/>
          <a:chExt cx="2895846" cy="1295706"/>
        </a:xfrm>
      </xdr:grpSpPr>
      <xdr:sp macro="" textlink="">
        <xdr:nvSpPr>
          <xdr:cNvPr id="10" name="Rectangle: Rounded Corners 9">
            <a:extLst>
              <a:ext uri="{FF2B5EF4-FFF2-40B4-BE49-F238E27FC236}">
                <a16:creationId xmlns:a16="http://schemas.microsoft.com/office/drawing/2014/main" id="{B48BC28B-1676-4A9D-9FA7-DF332302389D}"/>
              </a:ext>
            </a:extLst>
          </xdr:cNvPr>
          <xdr:cNvSpPr/>
        </xdr:nvSpPr>
        <xdr:spPr>
          <a:xfrm>
            <a:off x="3785458" y="1316873"/>
            <a:ext cx="2835964" cy="129570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48" name="TextBox 47">
            <a:extLst>
              <a:ext uri="{FF2B5EF4-FFF2-40B4-BE49-F238E27FC236}">
                <a16:creationId xmlns:a16="http://schemas.microsoft.com/office/drawing/2014/main" id="{88DDC8BB-7BB3-437D-B4E5-ABB9AB09DAB1}"/>
              </a:ext>
            </a:extLst>
          </xdr:cNvPr>
          <xdr:cNvSpPr txBox="1"/>
        </xdr:nvSpPr>
        <xdr:spPr>
          <a:xfrm>
            <a:off x="5042574" y="2332935"/>
            <a:ext cx="1638730" cy="17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rgbClr val="000000"/>
                </a:solidFill>
                <a:latin typeface="Calibri"/>
                <a:ea typeface="Calibri"/>
                <a:cs typeface="Calibri"/>
              </a:rPr>
              <a:t>COMPARE</a:t>
            </a:r>
            <a:r>
              <a:rPr lang="en-US" sz="1100" b="1" i="0" u="none" strike="noStrike" baseline="0">
                <a:solidFill>
                  <a:srgbClr val="000000"/>
                </a:solidFill>
                <a:latin typeface="Calibri"/>
                <a:ea typeface="Calibri"/>
                <a:cs typeface="Calibri"/>
              </a:rPr>
              <a:t> TO TARGET</a:t>
            </a:r>
            <a:endParaRPr lang="en-US" sz="1100" b="1" i="0" u="none" strike="noStrike">
              <a:solidFill>
                <a:srgbClr val="000000"/>
              </a:solidFill>
              <a:latin typeface="Calibri"/>
              <a:ea typeface="Calibri"/>
              <a:cs typeface="Calibri"/>
            </a:endParaRPr>
          </a:p>
        </xdr:txBody>
      </xdr:sp>
      <xdr:sp macro="" textlink="">
        <xdr:nvSpPr>
          <xdr:cNvPr id="46" name="TextBox 45">
            <a:extLst>
              <a:ext uri="{FF2B5EF4-FFF2-40B4-BE49-F238E27FC236}">
                <a16:creationId xmlns:a16="http://schemas.microsoft.com/office/drawing/2014/main" id="{25E62966-C05A-4223-A54B-A465332C99AA}"/>
              </a:ext>
            </a:extLst>
          </xdr:cNvPr>
          <xdr:cNvSpPr txBox="1"/>
        </xdr:nvSpPr>
        <xdr:spPr>
          <a:xfrm>
            <a:off x="3827792" y="1425530"/>
            <a:ext cx="2246121" cy="369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REVENUE</a:t>
            </a:r>
            <a:endParaRPr lang="en-IN" sz="1400" b="1" baseline="0"/>
          </a:p>
          <a:p>
            <a:r>
              <a:rPr lang="en-IN" sz="1400" b="1"/>
              <a:t>  </a:t>
            </a:r>
          </a:p>
        </xdr:txBody>
      </xdr:sp>
      <xdr:sp macro="" textlink="Analysis!B61">
        <xdr:nvSpPr>
          <xdr:cNvPr id="47" name="TextBox 46">
            <a:extLst>
              <a:ext uri="{FF2B5EF4-FFF2-40B4-BE49-F238E27FC236}">
                <a16:creationId xmlns:a16="http://schemas.microsoft.com/office/drawing/2014/main" id="{34D81E3C-1BCA-4D42-8CF4-B564D6558FCE}"/>
              </a:ext>
            </a:extLst>
          </xdr:cNvPr>
          <xdr:cNvSpPr txBox="1"/>
        </xdr:nvSpPr>
        <xdr:spPr>
          <a:xfrm>
            <a:off x="3827792" y="1794565"/>
            <a:ext cx="2246121" cy="35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8B7A7D7-C5D5-4335-B843-1C87AB643DF7}" type="TxLink">
              <a:rPr lang="en-US" sz="2400" b="1" i="0" u="none" strike="noStrike">
                <a:solidFill>
                  <a:srgbClr val="000000"/>
                </a:solidFill>
                <a:latin typeface="Calibri"/>
                <a:ea typeface="Calibri"/>
                <a:cs typeface="Calibri"/>
              </a:rPr>
              <a:pPr/>
              <a:t>£10,12,14,229</a:t>
            </a:fld>
            <a:endParaRPr lang="en-IN" sz="2400" b="1"/>
          </a:p>
        </xdr:txBody>
      </xdr:sp>
      <xdr:sp macro="" textlink="">
        <xdr:nvSpPr>
          <xdr:cNvPr id="61" name="Freeform: Shape 60">
            <a:extLst>
              <a:ext uri="{FF2B5EF4-FFF2-40B4-BE49-F238E27FC236}">
                <a16:creationId xmlns:a16="http://schemas.microsoft.com/office/drawing/2014/main" id="{0AAE4A0F-9BC0-8D14-E35D-27AAFB05DFFD}"/>
              </a:ext>
            </a:extLst>
          </xdr:cNvPr>
          <xdr:cNvSpPr/>
        </xdr:nvSpPr>
        <xdr:spPr>
          <a:xfrm>
            <a:off x="5984736" y="1673667"/>
            <a:ext cx="535161" cy="238015"/>
          </a:xfrm>
          <a:custGeom>
            <a:avLst/>
            <a:gdLst>
              <a:gd name="connsiteX0" fmla="*/ 498674 w 535161"/>
              <a:gd name="connsiteY0" fmla="*/ 184462 h 238015"/>
              <a:gd name="connsiteX1" fmla="*/ 480429 w 535161"/>
              <a:gd name="connsiteY1" fmla="*/ 202313 h 238015"/>
              <a:gd name="connsiteX2" fmla="*/ 60814 w 535161"/>
              <a:gd name="connsiteY2" fmla="*/ 202313 h 238015"/>
              <a:gd name="connsiteX3" fmla="*/ 36488 w 535161"/>
              <a:gd name="connsiteY3" fmla="*/ 178512 h 238015"/>
              <a:gd name="connsiteX4" fmla="*/ 36488 w 535161"/>
              <a:gd name="connsiteY4" fmla="*/ 59504 h 238015"/>
              <a:gd name="connsiteX5" fmla="*/ 60814 w 535161"/>
              <a:gd name="connsiteY5" fmla="*/ 35702 h 238015"/>
              <a:gd name="connsiteX6" fmla="*/ 480429 w 535161"/>
              <a:gd name="connsiteY6" fmla="*/ 35702 h 238015"/>
              <a:gd name="connsiteX7" fmla="*/ 498674 w 535161"/>
              <a:gd name="connsiteY7" fmla="*/ 53553 h 238015"/>
              <a:gd name="connsiteX8" fmla="*/ 498674 w 535161"/>
              <a:gd name="connsiteY8" fmla="*/ 184462 h 238015"/>
              <a:gd name="connsiteX9" fmla="*/ 0 w 535161"/>
              <a:gd name="connsiteY9" fmla="*/ 0 h 238015"/>
              <a:gd name="connsiteX10" fmla="*/ 0 w 535161"/>
              <a:gd name="connsiteY10" fmla="*/ 238015 h 238015"/>
              <a:gd name="connsiteX11" fmla="*/ 535162 w 535161"/>
              <a:gd name="connsiteY11" fmla="*/ 238015 h 238015"/>
              <a:gd name="connsiteX12" fmla="*/ 535162 w 535161"/>
              <a:gd name="connsiteY12" fmla="*/ 0 h 238015"/>
              <a:gd name="connsiteX13" fmla="*/ 0 w 535161"/>
              <a:gd name="connsiteY13" fmla="*/ 0 h 2380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535161" h="238015">
                <a:moveTo>
                  <a:pt x="498674" y="184462"/>
                </a:moveTo>
                <a:lnTo>
                  <a:pt x="480429" y="202313"/>
                </a:lnTo>
                <a:lnTo>
                  <a:pt x="60814" y="202313"/>
                </a:lnTo>
                <a:lnTo>
                  <a:pt x="36488" y="178512"/>
                </a:lnTo>
                <a:lnTo>
                  <a:pt x="36488" y="59504"/>
                </a:lnTo>
                <a:lnTo>
                  <a:pt x="60814" y="35702"/>
                </a:lnTo>
                <a:lnTo>
                  <a:pt x="480429" y="35702"/>
                </a:lnTo>
                <a:lnTo>
                  <a:pt x="498674" y="53553"/>
                </a:lnTo>
                <a:lnTo>
                  <a:pt x="498674" y="184462"/>
                </a:lnTo>
                <a:close/>
                <a:moveTo>
                  <a:pt x="0" y="0"/>
                </a:moveTo>
                <a:lnTo>
                  <a:pt x="0" y="238015"/>
                </a:lnTo>
                <a:lnTo>
                  <a:pt x="535162" y="238015"/>
                </a:lnTo>
                <a:lnTo>
                  <a:pt x="535162" y="0"/>
                </a:lnTo>
                <a:lnTo>
                  <a:pt x="0" y="0"/>
                </a:lnTo>
                <a:close/>
              </a:path>
            </a:pathLst>
          </a:custGeom>
          <a:solidFill>
            <a:srgbClr val="C00000"/>
          </a:solidFill>
          <a:ln w="3846" cap="flat">
            <a:noFill/>
            <a:prstDash val="solid"/>
            <a:miter/>
          </a:ln>
        </xdr:spPr>
        <xdr:txBody>
          <a:bodyPr rtlCol="0" anchor="ctr"/>
          <a:lstStyle/>
          <a:p>
            <a:endParaRPr lang="en-IN"/>
          </a:p>
        </xdr:txBody>
      </xdr:sp>
      <xdr:sp macro="" textlink="">
        <xdr:nvSpPr>
          <xdr:cNvPr id="62" name="Freeform: Shape 61">
            <a:extLst>
              <a:ext uri="{FF2B5EF4-FFF2-40B4-BE49-F238E27FC236}">
                <a16:creationId xmlns:a16="http://schemas.microsoft.com/office/drawing/2014/main" id="{7895344F-DF6C-EB8B-B5A4-08F2AFC562D8}"/>
              </a:ext>
            </a:extLst>
          </xdr:cNvPr>
          <xdr:cNvSpPr/>
        </xdr:nvSpPr>
        <xdr:spPr>
          <a:xfrm>
            <a:off x="6203666" y="1733171"/>
            <a:ext cx="97302" cy="119007"/>
          </a:xfrm>
          <a:custGeom>
            <a:avLst/>
            <a:gdLst>
              <a:gd name="connsiteX0" fmla="*/ 97302 w 97302"/>
              <a:gd name="connsiteY0" fmla="*/ 59504 h 119007"/>
              <a:gd name="connsiteX1" fmla="*/ 48651 w 97302"/>
              <a:gd name="connsiteY1" fmla="*/ 119008 h 119007"/>
              <a:gd name="connsiteX2" fmla="*/ 0 w 97302"/>
              <a:gd name="connsiteY2" fmla="*/ 59504 h 119007"/>
              <a:gd name="connsiteX3" fmla="*/ 48651 w 97302"/>
              <a:gd name="connsiteY3" fmla="*/ 0 h 119007"/>
              <a:gd name="connsiteX4" fmla="*/ 97302 w 97302"/>
              <a:gd name="connsiteY4" fmla="*/ 59504 h 1190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7302" h="119007">
                <a:moveTo>
                  <a:pt x="97302" y="59504"/>
                </a:moveTo>
                <a:cubicBezTo>
                  <a:pt x="97302" y="92367"/>
                  <a:pt x="75520" y="119008"/>
                  <a:pt x="48651" y="119008"/>
                </a:cubicBezTo>
                <a:cubicBezTo>
                  <a:pt x="21782" y="119008"/>
                  <a:pt x="0" y="92367"/>
                  <a:pt x="0" y="59504"/>
                </a:cubicBezTo>
                <a:cubicBezTo>
                  <a:pt x="0" y="26641"/>
                  <a:pt x="21782" y="0"/>
                  <a:pt x="48651" y="0"/>
                </a:cubicBezTo>
                <a:cubicBezTo>
                  <a:pt x="75520" y="0"/>
                  <a:pt x="97302" y="26641"/>
                  <a:pt x="97302" y="59504"/>
                </a:cubicBezTo>
                <a:close/>
              </a:path>
            </a:pathLst>
          </a:custGeom>
          <a:solidFill>
            <a:srgbClr val="C00000"/>
          </a:solidFill>
          <a:ln w="3846" cap="flat">
            <a:noFill/>
            <a:prstDash val="solid"/>
            <a:miter/>
          </a:ln>
        </xdr:spPr>
        <xdr:txBody>
          <a:bodyPr rtlCol="0" anchor="ctr"/>
          <a:lstStyle/>
          <a:p>
            <a:endParaRPr lang="en-IN"/>
          </a:p>
        </xdr:txBody>
      </xdr:sp>
      <xdr:sp macro="" textlink="">
        <xdr:nvSpPr>
          <xdr:cNvPr id="63" name="Freeform: Shape 62">
            <a:extLst>
              <a:ext uri="{FF2B5EF4-FFF2-40B4-BE49-F238E27FC236}">
                <a16:creationId xmlns:a16="http://schemas.microsoft.com/office/drawing/2014/main" id="{EE8F4865-BF06-AC00-F3BB-C4230392C533}"/>
              </a:ext>
            </a:extLst>
          </xdr:cNvPr>
          <xdr:cNvSpPr/>
        </xdr:nvSpPr>
        <xdr:spPr>
          <a:xfrm>
            <a:off x="6082038" y="1774823"/>
            <a:ext cx="36488" cy="35702"/>
          </a:xfrm>
          <a:custGeom>
            <a:avLst/>
            <a:gdLst>
              <a:gd name="connsiteX0" fmla="*/ 36488 w 36488"/>
              <a:gd name="connsiteY0" fmla="*/ 17851 h 35702"/>
              <a:gd name="connsiteX1" fmla="*/ 18244 w 36488"/>
              <a:gd name="connsiteY1" fmla="*/ 35702 h 35702"/>
              <a:gd name="connsiteX2" fmla="*/ 0 w 36488"/>
              <a:gd name="connsiteY2" fmla="*/ 17851 h 35702"/>
              <a:gd name="connsiteX3" fmla="*/ 18244 w 36488"/>
              <a:gd name="connsiteY3" fmla="*/ 0 h 35702"/>
              <a:gd name="connsiteX4" fmla="*/ 36488 w 36488"/>
              <a:gd name="connsiteY4" fmla="*/ 17851 h 3570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488" h="35702">
                <a:moveTo>
                  <a:pt x="36488" y="17851"/>
                </a:moveTo>
                <a:cubicBezTo>
                  <a:pt x="36488" y="27710"/>
                  <a:pt x="28320" y="35702"/>
                  <a:pt x="18244" y="35702"/>
                </a:cubicBezTo>
                <a:cubicBezTo>
                  <a:pt x="8168" y="35702"/>
                  <a:pt x="0" y="27710"/>
                  <a:pt x="0" y="17851"/>
                </a:cubicBezTo>
                <a:cubicBezTo>
                  <a:pt x="0" y="7992"/>
                  <a:pt x="8168" y="0"/>
                  <a:pt x="18244" y="0"/>
                </a:cubicBezTo>
                <a:cubicBezTo>
                  <a:pt x="28320" y="0"/>
                  <a:pt x="36488" y="7992"/>
                  <a:pt x="36488" y="17851"/>
                </a:cubicBezTo>
                <a:close/>
              </a:path>
            </a:pathLst>
          </a:custGeom>
          <a:solidFill>
            <a:srgbClr val="C00000"/>
          </a:solidFill>
          <a:ln w="3846" cap="flat">
            <a:noFill/>
            <a:prstDash val="solid"/>
            <a:miter/>
          </a:ln>
        </xdr:spPr>
        <xdr:txBody>
          <a:bodyPr rtlCol="0" anchor="ctr"/>
          <a:lstStyle/>
          <a:p>
            <a:endParaRPr lang="en-IN"/>
          </a:p>
        </xdr:txBody>
      </xdr:sp>
      <xdr:sp macro="" textlink="">
        <xdr:nvSpPr>
          <xdr:cNvPr id="64" name="Freeform: Shape 63">
            <a:extLst>
              <a:ext uri="{FF2B5EF4-FFF2-40B4-BE49-F238E27FC236}">
                <a16:creationId xmlns:a16="http://schemas.microsoft.com/office/drawing/2014/main" id="{3C0BA87A-6645-64BE-CDE7-F0FC87DB05B7}"/>
              </a:ext>
            </a:extLst>
          </xdr:cNvPr>
          <xdr:cNvSpPr/>
        </xdr:nvSpPr>
        <xdr:spPr>
          <a:xfrm>
            <a:off x="6386107" y="1774823"/>
            <a:ext cx="36488" cy="35702"/>
          </a:xfrm>
          <a:custGeom>
            <a:avLst/>
            <a:gdLst>
              <a:gd name="connsiteX0" fmla="*/ 36488 w 36488"/>
              <a:gd name="connsiteY0" fmla="*/ 17851 h 35702"/>
              <a:gd name="connsiteX1" fmla="*/ 18244 w 36488"/>
              <a:gd name="connsiteY1" fmla="*/ 35702 h 35702"/>
              <a:gd name="connsiteX2" fmla="*/ 0 w 36488"/>
              <a:gd name="connsiteY2" fmla="*/ 17851 h 35702"/>
              <a:gd name="connsiteX3" fmla="*/ 18244 w 36488"/>
              <a:gd name="connsiteY3" fmla="*/ 0 h 35702"/>
              <a:gd name="connsiteX4" fmla="*/ 36488 w 36488"/>
              <a:gd name="connsiteY4" fmla="*/ 17851 h 3570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488" h="35702">
                <a:moveTo>
                  <a:pt x="36488" y="17851"/>
                </a:moveTo>
                <a:cubicBezTo>
                  <a:pt x="36488" y="27710"/>
                  <a:pt x="28320" y="35702"/>
                  <a:pt x="18244" y="35702"/>
                </a:cubicBezTo>
                <a:cubicBezTo>
                  <a:pt x="8168" y="35702"/>
                  <a:pt x="0" y="27710"/>
                  <a:pt x="0" y="17851"/>
                </a:cubicBezTo>
                <a:cubicBezTo>
                  <a:pt x="0" y="7992"/>
                  <a:pt x="8168" y="0"/>
                  <a:pt x="18244" y="0"/>
                </a:cubicBezTo>
                <a:cubicBezTo>
                  <a:pt x="28320" y="0"/>
                  <a:pt x="36488" y="7992"/>
                  <a:pt x="36488" y="17851"/>
                </a:cubicBezTo>
                <a:close/>
              </a:path>
            </a:pathLst>
          </a:custGeom>
          <a:solidFill>
            <a:srgbClr val="C00000"/>
          </a:solidFill>
          <a:ln w="3846" cap="flat">
            <a:noFill/>
            <a:prstDash val="solid"/>
            <a:miter/>
          </a:ln>
        </xdr:spPr>
        <xdr:txBody>
          <a:bodyPr rtlCol="0" anchor="ctr"/>
          <a:lstStyle/>
          <a:p>
            <a:endParaRPr lang="en-IN"/>
          </a:p>
        </xdr:txBody>
      </xdr:sp>
      <xdr:sp macro="" textlink="">
        <xdr:nvSpPr>
          <xdr:cNvPr id="65" name="Freeform: Shape 64">
            <a:extLst>
              <a:ext uri="{FF2B5EF4-FFF2-40B4-BE49-F238E27FC236}">
                <a16:creationId xmlns:a16="http://schemas.microsoft.com/office/drawing/2014/main" id="{E234F492-A1C1-998D-E311-6A366F45C9E4}"/>
              </a:ext>
            </a:extLst>
          </xdr:cNvPr>
          <xdr:cNvSpPr/>
        </xdr:nvSpPr>
        <xdr:spPr>
          <a:xfrm>
            <a:off x="6054064" y="1511816"/>
            <a:ext cx="352720" cy="130908"/>
          </a:xfrm>
          <a:custGeom>
            <a:avLst/>
            <a:gdLst>
              <a:gd name="connsiteX0" fmla="*/ 307110 w 352720"/>
              <a:gd name="connsiteY0" fmla="*/ 47008 h 130908"/>
              <a:gd name="connsiteX1" fmla="*/ 316232 w 352720"/>
              <a:gd name="connsiteY1" fmla="*/ 69620 h 130908"/>
              <a:gd name="connsiteX2" fmla="*/ 352720 w 352720"/>
              <a:gd name="connsiteY2" fmla="*/ 62479 h 130908"/>
              <a:gd name="connsiteX3" fmla="*/ 327179 w 352720"/>
              <a:gd name="connsiteY3" fmla="*/ 0 h 130908"/>
              <a:gd name="connsiteX4" fmla="*/ 0 w 352720"/>
              <a:gd name="connsiteY4" fmla="*/ 130908 h 130908"/>
              <a:gd name="connsiteX5" fmla="*/ 187307 w 352720"/>
              <a:gd name="connsiteY5" fmla="*/ 94611 h 13090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52720" h="130908">
                <a:moveTo>
                  <a:pt x="307110" y="47008"/>
                </a:moveTo>
                <a:lnTo>
                  <a:pt x="316232" y="69620"/>
                </a:lnTo>
                <a:lnTo>
                  <a:pt x="352720" y="62479"/>
                </a:lnTo>
                <a:lnTo>
                  <a:pt x="327179" y="0"/>
                </a:lnTo>
                <a:lnTo>
                  <a:pt x="0" y="130908"/>
                </a:lnTo>
                <a:lnTo>
                  <a:pt x="187307" y="94611"/>
                </a:lnTo>
                <a:close/>
              </a:path>
            </a:pathLst>
          </a:custGeom>
          <a:solidFill>
            <a:srgbClr val="C00000"/>
          </a:solidFill>
          <a:ln w="3846" cap="flat">
            <a:noFill/>
            <a:prstDash val="solid"/>
            <a:miter/>
          </a:ln>
        </xdr:spPr>
        <xdr:txBody>
          <a:bodyPr rtlCol="0" anchor="ctr"/>
          <a:lstStyle/>
          <a:p>
            <a:endParaRPr lang="en-IN"/>
          </a:p>
        </xdr:txBody>
      </xdr:sp>
      <xdr:sp macro="" textlink="">
        <xdr:nvSpPr>
          <xdr:cNvPr id="66" name="Freeform: Shape 65">
            <a:extLst>
              <a:ext uri="{FF2B5EF4-FFF2-40B4-BE49-F238E27FC236}">
                <a16:creationId xmlns:a16="http://schemas.microsoft.com/office/drawing/2014/main" id="{BF1F2906-91DB-8911-6676-21C212D33C2B}"/>
              </a:ext>
            </a:extLst>
          </xdr:cNvPr>
          <xdr:cNvSpPr/>
        </xdr:nvSpPr>
        <xdr:spPr>
          <a:xfrm>
            <a:off x="6142852" y="1589171"/>
            <a:ext cx="324137" cy="60693"/>
          </a:xfrm>
          <a:custGeom>
            <a:avLst/>
            <a:gdLst>
              <a:gd name="connsiteX0" fmla="*/ 186699 w 324137"/>
              <a:gd name="connsiteY0" fmla="*/ 60694 h 60693"/>
              <a:gd name="connsiteX1" fmla="*/ 282784 w 324137"/>
              <a:gd name="connsiteY1" fmla="*/ 42248 h 60693"/>
              <a:gd name="connsiteX2" fmla="*/ 287041 w 324137"/>
              <a:gd name="connsiteY2" fmla="*/ 60694 h 60693"/>
              <a:gd name="connsiteX3" fmla="*/ 324138 w 324137"/>
              <a:gd name="connsiteY3" fmla="*/ 60694 h 60693"/>
              <a:gd name="connsiteX4" fmla="*/ 311975 w 324137"/>
              <a:gd name="connsiteY4" fmla="*/ 0 h 60693"/>
              <a:gd name="connsiteX5" fmla="*/ 0 w 324137"/>
              <a:gd name="connsiteY5" fmla="*/ 60694 h 6069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24137" h="60693">
                <a:moveTo>
                  <a:pt x="186699" y="60694"/>
                </a:moveTo>
                <a:lnTo>
                  <a:pt x="282784" y="42248"/>
                </a:lnTo>
                <a:lnTo>
                  <a:pt x="287041" y="60694"/>
                </a:lnTo>
                <a:lnTo>
                  <a:pt x="324138" y="60694"/>
                </a:lnTo>
                <a:lnTo>
                  <a:pt x="311975" y="0"/>
                </a:lnTo>
                <a:lnTo>
                  <a:pt x="0" y="60694"/>
                </a:lnTo>
                <a:close/>
              </a:path>
            </a:pathLst>
          </a:custGeom>
          <a:solidFill>
            <a:srgbClr val="C00000"/>
          </a:solidFill>
          <a:ln w="3846" cap="flat">
            <a:noFill/>
            <a:prstDash val="solid"/>
            <a:miter/>
          </a:ln>
        </xdr:spPr>
        <xdr:txBody>
          <a:bodyPr rtlCol="0" anchor="ctr"/>
          <a:lstStyle/>
          <a:p>
            <a:endParaRPr lang="en-IN"/>
          </a:p>
        </xdr:txBody>
      </xdr:sp>
      <mc:AlternateContent xmlns:mc="http://schemas.openxmlformats.org/markup-compatibility/2006" xmlns:a14="http://schemas.microsoft.com/office/drawing/2010/main">
        <mc:Choice Requires="a14">
          <xdr:pic>
            <xdr:nvPicPr>
              <xdr:cNvPr id="52" name="Picture 51">
                <a:extLst>
                  <a:ext uri="{FF2B5EF4-FFF2-40B4-BE49-F238E27FC236}">
                    <a16:creationId xmlns:a16="http://schemas.microsoft.com/office/drawing/2014/main" id="{9FD196E9-3D89-4AE0-950C-533B7DB10106}"/>
                  </a:ext>
                </a:extLst>
              </xdr:cNvPr>
              <xdr:cNvPicPr>
                <a:picLocks noChangeAspect="1" noChangeArrowheads="1"/>
                <a:extLst>
                  <a:ext uri="{84589F7E-364E-4C9E-8A38-B11213B215E9}">
                    <a14:cameraTool cellRange="Analysis!D61" spid="_x0000_s4246"/>
                  </a:ext>
                </a:extLst>
              </xdr:cNvPicPr>
            </xdr:nvPicPr>
            <xdr:blipFill>
              <a:blip xmlns:r="http://schemas.openxmlformats.org/officeDocument/2006/relationships" r:embed="rId3"/>
              <a:srcRect/>
              <a:stretch>
                <a:fillRect/>
              </a:stretch>
            </xdr:blipFill>
            <xdr:spPr bwMode="auto">
              <a:xfrm>
                <a:off x="4109093" y="2332935"/>
                <a:ext cx="867538" cy="182209"/>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16</xdr:col>
      <xdr:colOff>452355</xdr:colOff>
      <xdr:row>7</xdr:row>
      <xdr:rowOff>81064</xdr:rowOff>
    </xdr:from>
    <xdr:to>
      <xdr:col>21</xdr:col>
      <xdr:colOff>311245</xdr:colOff>
      <xdr:row>14</xdr:row>
      <xdr:rowOff>120575</xdr:rowOff>
    </xdr:to>
    <xdr:grpSp>
      <xdr:nvGrpSpPr>
        <xdr:cNvPr id="130" name="Group 129">
          <a:extLst>
            <a:ext uri="{FF2B5EF4-FFF2-40B4-BE49-F238E27FC236}">
              <a16:creationId xmlns:a16="http://schemas.microsoft.com/office/drawing/2014/main" id="{29725738-9831-5B8A-9A7E-AC302019394B}"/>
            </a:ext>
          </a:extLst>
        </xdr:cNvPr>
        <xdr:cNvGrpSpPr/>
      </xdr:nvGrpSpPr>
      <xdr:grpSpPr>
        <a:xfrm>
          <a:off x="10273688" y="1340481"/>
          <a:ext cx="2928057" cy="1298927"/>
          <a:chOff x="9859371" y="1354729"/>
          <a:chExt cx="2895846" cy="1295706"/>
        </a:xfrm>
      </xdr:grpSpPr>
      <xdr:sp macro="" textlink="">
        <xdr:nvSpPr>
          <xdr:cNvPr id="81" name="Rectangle: Rounded Corners 80">
            <a:extLst>
              <a:ext uri="{FF2B5EF4-FFF2-40B4-BE49-F238E27FC236}">
                <a16:creationId xmlns:a16="http://schemas.microsoft.com/office/drawing/2014/main" id="{9CC6C03C-151C-9095-55FA-75CBC73BD831}"/>
              </a:ext>
            </a:extLst>
          </xdr:cNvPr>
          <xdr:cNvSpPr/>
        </xdr:nvSpPr>
        <xdr:spPr>
          <a:xfrm>
            <a:off x="9859371" y="1354729"/>
            <a:ext cx="2835964" cy="129570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82" name="TextBox 81">
            <a:extLst>
              <a:ext uri="{FF2B5EF4-FFF2-40B4-BE49-F238E27FC236}">
                <a16:creationId xmlns:a16="http://schemas.microsoft.com/office/drawing/2014/main" id="{15732446-EBE3-46DA-59C8-F4425E43C3B7}"/>
              </a:ext>
            </a:extLst>
          </xdr:cNvPr>
          <xdr:cNvSpPr txBox="1"/>
        </xdr:nvSpPr>
        <xdr:spPr>
          <a:xfrm>
            <a:off x="11116487" y="2370791"/>
            <a:ext cx="1638730" cy="17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rgbClr val="000000"/>
                </a:solidFill>
                <a:latin typeface="Calibri"/>
                <a:ea typeface="Calibri"/>
                <a:cs typeface="Calibri"/>
              </a:rPr>
              <a:t>COMPARE</a:t>
            </a:r>
            <a:r>
              <a:rPr lang="en-US" sz="1100" b="1" i="0" u="none" strike="noStrike" baseline="0">
                <a:solidFill>
                  <a:srgbClr val="000000"/>
                </a:solidFill>
                <a:latin typeface="Calibri"/>
                <a:ea typeface="Calibri"/>
                <a:cs typeface="Calibri"/>
              </a:rPr>
              <a:t> TO TARGET</a:t>
            </a:r>
            <a:endParaRPr lang="en-US" sz="1100" b="1" i="0" u="none" strike="noStrike">
              <a:solidFill>
                <a:srgbClr val="000000"/>
              </a:solidFill>
              <a:latin typeface="Calibri"/>
              <a:ea typeface="Calibri"/>
              <a:cs typeface="Calibri"/>
            </a:endParaRPr>
          </a:p>
        </xdr:txBody>
      </xdr:sp>
      <xdr:sp macro="" textlink="">
        <xdr:nvSpPr>
          <xdr:cNvPr id="83" name="TextBox 82">
            <a:extLst>
              <a:ext uri="{FF2B5EF4-FFF2-40B4-BE49-F238E27FC236}">
                <a16:creationId xmlns:a16="http://schemas.microsoft.com/office/drawing/2014/main" id="{6D0AABEC-E5E3-C7EA-D9F6-976A99D86ED0}"/>
              </a:ext>
            </a:extLst>
          </xdr:cNvPr>
          <xdr:cNvSpPr txBox="1"/>
        </xdr:nvSpPr>
        <xdr:spPr>
          <a:xfrm>
            <a:off x="9901705" y="1463386"/>
            <a:ext cx="2246121" cy="369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PROFIT</a:t>
            </a:r>
            <a:r>
              <a:rPr lang="en-IN" sz="1400" b="1" baseline="0"/>
              <a:t> %</a:t>
            </a:r>
          </a:p>
        </xdr:txBody>
      </xdr:sp>
      <xdr:sp macro="" textlink="Analysis!B63">
        <xdr:nvSpPr>
          <xdr:cNvPr id="84" name="TextBox 83">
            <a:extLst>
              <a:ext uri="{FF2B5EF4-FFF2-40B4-BE49-F238E27FC236}">
                <a16:creationId xmlns:a16="http://schemas.microsoft.com/office/drawing/2014/main" id="{79AC0317-73D9-1B1E-DD15-AC832E922D25}"/>
              </a:ext>
            </a:extLst>
          </xdr:cNvPr>
          <xdr:cNvSpPr txBox="1"/>
        </xdr:nvSpPr>
        <xdr:spPr>
          <a:xfrm>
            <a:off x="9901705" y="1832421"/>
            <a:ext cx="2246121" cy="35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5EA215-637A-4893-8F8A-5322AF6E3871}" type="TxLink">
              <a:rPr lang="en-US" sz="2400" b="1" i="0" u="none" strike="noStrike">
                <a:solidFill>
                  <a:srgbClr val="000000"/>
                </a:solidFill>
                <a:latin typeface="Calibri"/>
                <a:ea typeface="Calibri"/>
                <a:cs typeface="Calibri"/>
              </a:rPr>
              <a:pPr/>
              <a:t>27.85%</a:t>
            </a:fld>
            <a:endParaRPr lang="en-IN" sz="2400" b="1"/>
          </a:p>
        </xdr:txBody>
      </xdr:sp>
      <mc:AlternateContent xmlns:mc="http://schemas.openxmlformats.org/markup-compatibility/2006" xmlns:a14="http://schemas.microsoft.com/office/drawing/2010/main">
        <mc:Choice Requires="a14">
          <xdr:pic>
            <xdr:nvPicPr>
              <xdr:cNvPr id="91" name="Picture 90">
                <a:extLst>
                  <a:ext uri="{FF2B5EF4-FFF2-40B4-BE49-F238E27FC236}">
                    <a16:creationId xmlns:a16="http://schemas.microsoft.com/office/drawing/2014/main" id="{1570A91C-1260-65E7-3DAC-3768B43F2D8A}"/>
                  </a:ext>
                </a:extLst>
              </xdr:cNvPr>
              <xdr:cNvPicPr>
                <a:picLocks noChangeAspect="1" noChangeArrowheads="1"/>
                <a:extLst>
                  <a:ext uri="{84589F7E-364E-4C9E-8A38-B11213B215E9}">
                    <a14:cameraTool cellRange="Analysis!D63" spid="_x0000_s4247"/>
                  </a:ext>
                </a:extLst>
              </xdr:cNvPicPr>
            </xdr:nvPicPr>
            <xdr:blipFill>
              <a:blip xmlns:r="http://schemas.openxmlformats.org/officeDocument/2006/relationships" r:embed="rId4"/>
              <a:srcRect/>
              <a:stretch>
                <a:fillRect/>
              </a:stretch>
            </xdr:blipFill>
            <xdr:spPr bwMode="auto">
              <a:xfrm>
                <a:off x="10141593" y="2370791"/>
                <a:ext cx="867538" cy="182209"/>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11</xdr:col>
      <xdr:colOff>296733</xdr:colOff>
      <xdr:row>7</xdr:row>
      <xdr:rowOff>70925</xdr:rowOff>
    </xdr:from>
    <xdr:to>
      <xdr:col>16</xdr:col>
      <xdr:colOff>155622</xdr:colOff>
      <xdr:row>14</xdr:row>
      <xdr:rowOff>110436</xdr:rowOff>
    </xdr:to>
    <xdr:grpSp>
      <xdr:nvGrpSpPr>
        <xdr:cNvPr id="129" name="Group 128">
          <a:extLst>
            <a:ext uri="{FF2B5EF4-FFF2-40B4-BE49-F238E27FC236}">
              <a16:creationId xmlns:a16="http://schemas.microsoft.com/office/drawing/2014/main" id="{35F30210-ADA0-2AE5-1272-205495A4C46A}"/>
            </a:ext>
          </a:extLst>
        </xdr:cNvPr>
        <xdr:cNvGrpSpPr/>
      </xdr:nvGrpSpPr>
      <xdr:grpSpPr>
        <a:xfrm>
          <a:off x="7048900" y="1330342"/>
          <a:ext cx="2928055" cy="1298927"/>
          <a:chOff x="6891437" y="1327121"/>
          <a:chExt cx="2895846" cy="1295706"/>
        </a:xfrm>
      </xdr:grpSpPr>
      <xdr:sp macro="" textlink="">
        <xdr:nvSpPr>
          <xdr:cNvPr id="93" name="Rectangle: Rounded Corners 92">
            <a:extLst>
              <a:ext uri="{FF2B5EF4-FFF2-40B4-BE49-F238E27FC236}">
                <a16:creationId xmlns:a16="http://schemas.microsoft.com/office/drawing/2014/main" id="{2BE211C2-5C49-6A34-F3A4-D0908DB660B8}"/>
              </a:ext>
            </a:extLst>
          </xdr:cNvPr>
          <xdr:cNvSpPr/>
        </xdr:nvSpPr>
        <xdr:spPr>
          <a:xfrm>
            <a:off x="6891437" y="1327121"/>
            <a:ext cx="2835964" cy="129570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94" name="TextBox 93">
            <a:extLst>
              <a:ext uri="{FF2B5EF4-FFF2-40B4-BE49-F238E27FC236}">
                <a16:creationId xmlns:a16="http://schemas.microsoft.com/office/drawing/2014/main" id="{D18A4955-1DEB-4BC0-8BA7-37825EE17E0F}"/>
              </a:ext>
            </a:extLst>
          </xdr:cNvPr>
          <xdr:cNvSpPr txBox="1"/>
        </xdr:nvSpPr>
        <xdr:spPr>
          <a:xfrm>
            <a:off x="8148553" y="2343183"/>
            <a:ext cx="1638730" cy="17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rgbClr val="000000"/>
                </a:solidFill>
                <a:latin typeface="Calibri"/>
                <a:ea typeface="Calibri"/>
                <a:cs typeface="Calibri"/>
              </a:rPr>
              <a:t>COMPARE</a:t>
            </a:r>
            <a:r>
              <a:rPr lang="en-US" sz="1100" b="1" i="0" u="none" strike="noStrike" baseline="0">
                <a:solidFill>
                  <a:srgbClr val="000000"/>
                </a:solidFill>
                <a:latin typeface="Calibri"/>
                <a:ea typeface="Calibri"/>
                <a:cs typeface="Calibri"/>
              </a:rPr>
              <a:t> TO TARGET</a:t>
            </a:r>
            <a:endParaRPr lang="en-US" sz="1100" b="1" i="0" u="none" strike="noStrike">
              <a:solidFill>
                <a:srgbClr val="000000"/>
              </a:solidFill>
              <a:latin typeface="Calibri"/>
              <a:ea typeface="Calibri"/>
              <a:cs typeface="Calibri"/>
            </a:endParaRPr>
          </a:p>
        </xdr:txBody>
      </xdr:sp>
      <xdr:sp macro="" textlink="">
        <xdr:nvSpPr>
          <xdr:cNvPr id="95" name="TextBox 94">
            <a:extLst>
              <a:ext uri="{FF2B5EF4-FFF2-40B4-BE49-F238E27FC236}">
                <a16:creationId xmlns:a16="http://schemas.microsoft.com/office/drawing/2014/main" id="{1786F4AB-B506-795F-C606-FECE9E4D4E6D}"/>
              </a:ext>
            </a:extLst>
          </xdr:cNvPr>
          <xdr:cNvSpPr txBox="1"/>
        </xdr:nvSpPr>
        <xdr:spPr>
          <a:xfrm>
            <a:off x="6933771" y="1435778"/>
            <a:ext cx="2246121" cy="369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PROFIT </a:t>
            </a:r>
          </a:p>
        </xdr:txBody>
      </xdr:sp>
      <xdr:sp macro="" textlink="Analysis!B62">
        <xdr:nvSpPr>
          <xdr:cNvPr id="96" name="TextBox 95">
            <a:extLst>
              <a:ext uri="{FF2B5EF4-FFF2-40B4-BE49-F238E27FC236}">
                <a16:creationId xmlns:a16="http://schemas.microsoft.com/office/drawing/2014/main" id="{4E5D046E-2FC4-87E2-2E0F-F928E7B35915}"/>
              </a:ext>
            </a:extLst>
          </xdr:cNvPr>
          <xdr:cNvSpPr txBox="1"/>
        </xdr:nvSpPr>
        <xdr:spPr>
          <a:xfrm>
            <a:off x="6933771" y="1804813"/>
            <a:ext cx="2246121" cy="35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DDBF6ED-FA38-41FF-80E6-AF03D7387C5F}" type="TxLink">
              <a:rPr lang="en-US" sz="2400" b="1" i="0" u="none" strike="noStrike">
                <a:solidFill>
                  <a:srgbClr val="000000"/>
                </a:solidFill>
                <a:latin typeface="Calibri"/>
                <a:ea typeface="Calibri"/>
                <a:cs typeface="Calibri"/>
              </a:rPr>
              <a:pPr/>
              <a:t>£2,81,87,847</a:t>
            </a:fld>
            <a:endParaRPr lang="en-IN" sz="2400" b="1"/>
          </a:p>
        </xdr:txBody>
      </xdr:sp>
      <mc:AlternateContent xmlns:mc="http://schemas.openxmlformats.org/markup-compatibility/2006" xmlns:a14="http://schemas.microsoft.com/office/drawing/2010/main">
        <mc:Choice Requires="a14">
          <xdr:pic>
            <xdr:nvPicPr>
              <xdr:cNvPr id="103" name="Picture 102">
                <a:extLst>
                  <a:ext uri="{FF2B5EF4-FFF2-40B4-BE49-F238E27FC236}">
                    <a16:creationId xmlns:a16="http://schemas.microsoft.com/office/drawing/2014/main" id="{6E6ECC5C-A6AC-BA47-A771-CECFCF1E7F14}"/>
                  </a:ext>
                </a:extLst>
              </xdr:cNvPr>
              <xdr:cNvPicPr>
                <a:picLocks noChangeAspect="1" noChangeArrowheads="1"/>
                <a:extLst>
                  <a:ext uri="{84589F7E-364E-4C9E-8A38-B11213B215E9}">
                    <a14:cameraTool cellRange="Analysis!D62" spid="_x0000_s4248"/>
                  </a:ext>
                </a:extLst>
              </xdr:cNvPicPr>
            </xdr:nvPicPr>
            <xdr:blipFill>
              <a:blip xmlns:r="http://schemas.openxmlformats.org/officeDocument/2006/relationships" r:embed="rId5"/>
              <a:srcRect/>
              <a:stretch>
                <a:fillRect/>
              </a:stretch>
            </xdr:blipFill>
            <xdr:spPr bwMode="auto">
              <a:xfrm>
                <a:off x="7173659" y="2343183"/>
                <a:ext cx="867539" cy="182209"/>
              </a:xfrm>
              <a:prstGeom prst="rect">
                <a:avLst/>
              </a:prstGeom>
              <a:noFill/>
              <a:ln w="9525" cmpd="sng">
                <a:noFill/>
              </a:ln>
              <a:extLst>
                <a:ext uri="{909E8E84-426E-40DD-AFC4-6F175D3DCCD1}">
                  <a14:hiddenFill>
                    <a:solidFill>
                      <a:srgbClr val="FFFFFF"/>
                    </a:solidFill>
                  </a14:hiddenFill>
                </a:ext>
              </a:extLst>
            </xdr:spPr>
          </xdr:pic>
        </mc:Choice>
        <mc:Fallback xmlns=""/>
      </mc:AlternateContent>
    </xdr:grpSp>
    <xdr:clientData/>
  </xdr:twoCellAnchor>
  <xdr:twoCellAnchor>
    <xdr:from>
      <xdr:col>22</xdr:col>
      <xdr:colOff>0</xdr:colOff>
      <xdr:row>7</xdr:row>
      <xdr:rowOff>68575</xdr:rowOff>
    </xdr:from>
    <xdr:to>
      <xdr:col>26</xdr:col>
      <xdr:colOff>466868</xdr:colOff>
      <xdr:row>14</xdr:row>
      <xdr:rowOff>108086</xdr:rowOff>
    </xdr:to>
    <xdr:grpSp>
      <xdr:nvGrpSpPr>
        <xdr:cNvPr id="131" name="Group 130">
          <a:extLst>
            <a:ext uri="{FF2B5EF4-FFF2-40B4-BE49-F238E27FC236}">
              <a16:creationId xmlns:a16="http://schemas.microsoft.com/office/drawing/2014/main" id="{B88B3A7A-9CC9-2ACB-0B24-0535019AE694}"/>
            </a:ext>
          </a:extLst>
        </xdr:cNvPr>
        <xdr:cNvGrpSpPr/>
      </xdr:nvGrpSpPr>
      <xdr:grpSpPr>
        <a:xfrm>
          <a:off x="13504333" y="1327992"/>
          <a:ext cx="2922202" cy="1298927"/>
          <a:chOff x="12896328" y="1339022"/>
          <a:chExt cx="2895846" cy="1295706"/>
        </a:xfrm>
      </xdr:grpSpPr>
      <xdr:sp macro="" textlink="">
        <xdr:nvSpPr>
          <xdr:cNvPr id="105" name="Rectangle: Rounded Corners 104">
            <a:extLst>
              <a:ext uri="{FF2B5EF4-FFF2-40B4-BE49-F238E27FC236}">
                <a16:creationId xmlns:a16="http://schemas.microsoft.com/office/drawing/2014/main" id="{41DF60C1-F051-E162-73E0-7A0F697F0809}"/>
              </a:ext>
            </a:extLst>
          </xdr:cNvPr>
          <xdr:cNvSpPr/>
        </xdr:nvSpPr>
        <xdr:spPr>
          <a:xfrm>
            <a:off x="12896328" y="1339022"/>
            <a:ext cx="2835964" cy="129570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06" name="TextBox 105">
            <a:extLst>
              <a:ext uri="{FF2B5EF4-FFF2-40B4-BE49-F238E27FC236}">
                <a16:creationId xmlns:a16="http://schemas.microsoft.com/office/drawing/2014/main" id="{2A607647-823D-B6DD-F119-A860EDB38DE6}"/>
              </a:ext>
            </a:extLst>
          </xdr:cNvPr>
          <xdr:cNvSpPr txBox="1"/>
        </xdr:nvSpPr>
        <xdr:spPr>
          <a:xfrm>
            <a:off x="14153444" y="2355084"/>
            <a:ext cx="1638730" cy="17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rgbClr val="000000"/>
                </a:solidFill>
                <a:latin typeface="Calibri"/>
                <a:ea typeface="Calibri"/>
                <a:cs typeface="Calibri"/>
              </a:rPr>
              <a:t>COMPARE</a:t>
            </a:r>
            <a:r>
              <a:rPr lang="en-US" sz="1100" b="1" i="0" u="none" strike="noStrike" baseline="0">
                <a:solidFill>
                  <a:srgbClr val="000000"/>
                </a:solidFill>
                <a:latin typeface="Calibri"/>
                <a:ea typeface="Calibri"/>
                <a:cs typeface="Calibri"/>
              </a:rPr>
              <a:t> TO TARGET</a:t>
            </a:r>
            <a:endParaRPr lang="en-US" sz="1100" b="1" i="0" u="none" strike="noStrike">
              <a:solidFill>
                <a:srgbClr val="000000"/>
              </a:solidFill>
              <a:latin typeface="Calibri"/>
              <a:ea typeface="Calibri"/>
              <a:cs typeface="Calibri"/>
            </a:endParaRPr>
          </a:p>
        </xdr:txBody>
      </xdr:sp>
      <xdr:sp macro="" textlink="">
        <xdr:nvSpPr>
          <xdr:cNvPr id="107" name="TextBox 106">
            <a:extLst>
              <a:ext uri="{FF2B5EF4-FFF2-40B4-BE49-F238E27FC236}">
                <a16:creationId xmlns:a16="http://schemas.microsoft.com/office/drawing/2014/main" id="{B1BFCE1E-1AA0-E655-BD9C-5CAF7E45431B}"/>
              </a:ext>
            </a:extLst>
          </xdr:cNvPr>
          <xdr:cNvSpPr txBox="1"/>
        </xdr:nvSpPr>
        <xdr:spPr>
          <a:xfrm>
            <a:off x="12938662" y="1447679"/>
            <a:ext cx="2246121" cy="369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UNIT</a:t>
            </a:r>
            <a:r>
              <a:rPr lang="en-IN" sz="1400" b="1" baseline="0"/>
              <a:t> SOLD</a:t>
            </a:r>
            <a:endParaRPr lang="en-IN" sz="1400" b="1"/>
          </a:p>
        </xdr:txBody>
      </xdr:sp>
      <xdr:sp macro="" textlink="Analysis!B64">
        <xdr:nvSpPr>
          <xdr:cNvPr id="108" name="TextBox 107">
            <a:extLst>
              <a:ext uri="{FF2B5EF4-FFF2-40B4-BE49-F238E27FC236}">
                <a16:creationId xmlns:a16="http://schemas.microsoft.com/office/drawing/2014/main" id="{F38EED93-00F1-24E6-66F2-C1A361A9D61E}"/>
              </a:ext>
            </a:extLst>
          </xdr:cNvPr>
          <xdr:cNvSpPr txBox="1"/>
        </xdr:nvSpPr>
        <xdr:spPr>
          <a:xfrm>
            <a:off x="12938662" y="1816714"/>
            <a:ext cx="2246121" cy="35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8D019D-2D76-4A2A-9996-899708BF3954}" type="TxLink">
              <a:rPr lang="en-US" sz="2400" b="1" i="0" u="none" strike="noStrike">
                <a:solidFill>
                  <a:srgbClr val="000000"/>
                </a:solidFill>
                <a:latin typeface="Calibri"/>
                <a:ea typeface="Calibri"/>
                <a:cs typeface="Calibri"/>
              </a:rPr>
              <a:pPr/>
              <a:t>659180</a:t>
            </a:fld>
            <a:endParaRPr lang="en-IN" sz="2400" b="1"/>
          </a:p>
        </xdr:txBody>
      </xdr:sp>
      <mc:AlternateContent xmlns:mc="http://schemas.openxmlformats.org/markup-compatibility/2006" xmlns:a14="http://schemas.microsoft.com/office/drawing/2010/main">
        <mc:Choice Requires="a14">
          <xdr:pic>
            <xdr:nvPicPr>
              <xdr:cNvPr id="115" name="Picture 114">
                <a:extLst>
                  <a:ext uri="{FF2B5EF4-FFF2-40B4-BE49-F238E27FC236}">
                    <a16:creationId xmlns:a16="http://schemas.microsoft.com/office/drawing/2014/main" id="{FA56E39F-FC64-46D9-F8AD-D73AFF6EE110}"/>
                  </a:ext>
                </a:extLst>
              </xdr:cNvPr>
              <xdr:cNvPicPr>
                <a:picLocks noChangeAspect="1" noChangeArrowheads="1"/>
                <a:extLst>
                  <a:ext uri="{84589F7E-364E-4C9E-8A38-B11213B215E9}">
                    <a14:cameraTool cellRange="Analysis!D64" spid="_x0000_s4249"/>
                  </a:ext>
                </a:extLst>
              </xdr:cNvPicPr>
            </xdr:nvPicPr>
            <xdr:blipFill>
              <a:blip xmlns:r="http://schemas.openxmlformats.org/officeDocument/2006/relationships" r:embed="rId6"/>
              <a:srcRect/>
              <a:stretch>
                <a:fillRect/>
              </a:stretch>
            </xdr:blipFill>
            <xdr:spPr bwMode="auto">
              <a:xfrm>
                <a:off x="13178550" y="2355084"/>
                <a:ext cx="866572" cy="182209"/>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14</xdr:col>
      <xdr:colOff>595901</xdr:colOff>
      <xdr:row>8</xdr:row>
      <xdr:rowOff>77355</xdr:rowOff>
    </xdr:from>
    <xdr:to>
      <xdr:col>15</xdr:col>
      <xdr:colOff>408125</xdr:colOff>
      <xdr:row>10</xdr:row>
      <xdr:rowOff>134968</xdr:rowOff>
    </xdr:to>
    <xdr:sp macro="" textlink="">
      <xdr:nvSpPr>
        <xdr:cNvPr id="121" name="Freeform: Shape 120">
          <a:extLst>
            <a:ext uri="{FF2B5EF4-FFF2-40B4-BE49-F238E27FC236}">
              <a16:creationId xmlns:a16="http://schemas.microsoft.com/office/drawing/2014/main" id="{C301BE3E-5821-37F9-E5F7-F07453509AF0}"/>
            </a:ext>
          </a:extLst>
        </xdr:cNvPr>
        <xdr:cNvSpPr/>
      </xdr:nvSpPr>
      <xdr:spPr>
        <a:xfrm>
          <a:off x="9099379" y="1513007"/>
          <a:ext cx="419616" cy="416526"/>
        </a:xfrm>
        <a:custGeom>
          <a:avLst/>
          <a:gdLst>
            <a:gd name="connsiteX0" fmla="*/ 36488 w 419616"/>
            <a:gd name="connsiteY0" fmla="*/ 0 h 416526"/>
            <a:gd name="connsiteX1" fmla="*/ 0 w 419616"/>
            <a:gd name="connsiteY1" fmla="*/ 0 h 416526"/>
            <a:gd name="connsiteX2" fmla="*/ 0 w 419616"/>
            <a:gd name="connsiteY2" fmla="*/ 416527 h 416526"/>
            <a:gd name="connsiteX3" fmla="*/ 419616 w 419616"/>
            <a:gd name="connsiteY3" fmla="*/ 416527 h 416526"/>
            <a:gd name="connsiteX4" fmla="*/ 419616 w 419616"/>
            <a:gd name="connsiteY4" fmla="*/ 380825 h 416526"/>
            <a:gd name="connsiteX5" fmla="*/ 36488 w 419616"/>
            <a:gd name="connsiteY5" fmla="*/ 380825 h 416526"/>
            <a:gd name="connsiteX6" fmla="*/ 36488 w 419616"/>
            <a:gd name="connsiteY6" fmla="*/ 0 h 416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19616" h="416526">
              <a:moveTo>
                <a:pt x="36488" y="0"/>
              </a:moveTo>
              <a:lnTo>
                <a:pt x="0" y="0"/>
              </a:lnTo>
              <a:lnTo>
                <a:pt x="0" y="416527"/>
              </a:lnTo>
              <a:lnTo>
                <a:pt x="419616" y="416527"/>
              </a:lnTo>
              <a:lnTo>
                <a:pt x="419616" y="380825"/>
              </a:lnTo>
              <a:lnTo>
                <a:pt x="36488" y="380825"/>
              </a:lnTo>
              <a:lnTo>
                <a:pt x="36488" y="0"/>
              </a:lnTo>
              <a:close/>
            </a:path>
          </a:pathLst>
        </a:custGeom>
        <a:solidFill>
          <a:srgbClr val="C00000"/>
        </a:solidFill>
        <a:ln w="6052" cap="flat">
          <a:noFill/>
          <a:prstDash val="solid"/>
          <a:miter/>
        </a:ln>
      </xdr:spPr>
      <xdr:txBody>
        <a:bodyPr rtlCol="0" anchor="ctr"/>
        <a:lstStyle/>
        <a:p>
          <a:endParaRPr lang="en-IN"/>
        </a:p>
      </xdr:txBody>
    </xdr:sp>
    <xdr:clientData/>
  </xdr:twoCellAnchor>
  <xdr:twoCellAnchor>
    <xdr:from>
      <xdr:col>15</xdr:col>
      <xdr:colOff>316904</xdr:colOff>
      <xdr:row>8</xdr:row>
      <xdr:rowOff>77355</xdr:rowOff>
    </xdr:from>
    <xdr:to>
      <xdr:col>15</xdr:col>
      <xdr:colOff>408124</xdr:colOff>
      <xdr:row>10</xdr:row>
      <xdr:rowOff>63564</xdr:rowOff>
    </xdr:to>
    <xdr:sp macro="" textlink="">
      <xdr:nvSpPr>
        <xdr:cNvPr id="122" name="Freeform: Shape 121">
          <a:extLst>
            <a:ext uri="{FF2B5EF4-FFF2-40B4-BE49-F238E27FC236}">
              <a16:creationId xmlns:a16="http://schemas.microsoft.com/office/drawing/2014/main" id="{4235B0AA-BC99-FEEE-A82C-931C10058D6C}"/>
            </a:ext>
          </a:extLst>
        </xdr:cNvPr>
        <xdr:cNvSpPr/>
      </xdr:nvSpPr>
      <xdr:spPr>
        <a:xfrm rot="10800000">
          <a:off x="9427774" y="1513007"/>
          <a:ext cx="91220" cy="345122"/>
        </a:xfrm>
        <a:custGeom>
          <a:avLst/>
          <a:gdLst>
            <a:gd name="connsiteX0" fmla="*/ 0 w 91220"/>
            <a:gd name="connsiteY0" fmla="*/ 0 h 345122"/>
            <a:gd name="connsiteX1" fmla="*/ 91221 w 91220"/>
            <a:gd name="connsiteY1" fmla="*/ 0 h 345122"/>
            <a:gd name="connsiteX2" fmla="*/ 91221 w 91220"/>
            <a:gd name="connsiteY2" fmla="*/ 345122 h 345122"/>
            <a:gd name="connsiteX3" fmla="*/ 0 w 91220"/>
            <a:gd name="connsiteY3" fmla="*/ 345122 h 345122"/>
          </a:gdLst>
          <a:ahLst/>
          <a:cxnLst>
            <a:cxn ang="0">
              <a:pos x="connsiteX0" y="connsiteY0"/>
            </a:cxn>
            <a:cxn ang="0">
              <a:pos x="connsiteX1" y="connsiteY1"/>
            </a:cxn>
            <a:cxn ang="0">
              <a:pos x="connsiteX2" y="connsiteY2"/>
            </a:cxn>
            <a:cxn ang="0">
              <a:pos x="connsiteX3" y="connsiteY3"/>
            </a:cxn>
          </a:cxnLst>
          <a:rect l="l" t="t" r="r" b="b"/>
          <a:pathLst>
            <a:path w="91220" h="345122">
              <a:moveTo>
                <a:pt x="0" y="0"/>
              </a:moveTo>
              <a:lnTo>
                <a:pt x="91221" y="0"/>
              </a:lnTo>
              <a:lnTo>
                <a:pt x="91221" y="345122"/>
              </a:lnTo>
              <a:lnTo>
                <a:pt x="0" y="345122"/>
              </a:lnTo>
              <a:close/>
            </a:path>
          </a:pathLst>
        </a:custGeom>
        <a:solidFill>
          <a:srgbClr val="C00000"/>
        </a:solidFill>
        <a:ln w="6052" cap="flat">
          <a:noFill/>
          <a:prstDash val="solid"/>
          <a:miter/>
        </a:ln>
      </xdr:spPr>
      <xdr:txBody>
        <a:bodyPr rtlCol="0" anchor="ctr"/>
        <a:lstStyle/>
        <a:p>
          <a:endParaRPr lang="en-IN"/>
        </a:p>
      </xdr:txBody>
    </xdr:sp>
    <xdr:clientData/>
  </xdr:twoCellAnchor>
  <xdr:twoCellAnchor>
    <xdr:from>
      <xdr:col>15</xdr:col>
      <xdr:colOff>189195</xdr:colOff>
      <xdr:row>9</xdr:row>
      <xdr:rowOff>16905</xdr:rowOff>
    </xdr:from>
    <xdr:to>
      <xdr:col>15</xdr:col>
      <xdr:colOff>280415</xdr:colOff>
      <xdr:row>10</xdr:row>
      <xdr:rowOff>63563</xdr:rowOff>
    </xdr:to>
    <xdr:sp macro="" textlink="">
      <xdr:nvSpPr>
        <xdr:cNvPr id="123" name="Freeform: Shape 122">
          <a:extLst>
            <a:ext uri="{FF2B5EF4-FFF2-40B4-BE49-F238E27FC236}">
              <a16:creationId xmlns:a16="http://schemas.microsoft.com/office/drawing/2014/main" id="{EED6088A-178C-B182-2152-2BD7C139A21B}"/>
            </a:ext>
          </a:extLst>
        </xdr:cNvPr>
        <xdr:cNvSpPr/>
      </xdr:nvSpPr>
      <xdr:spPr>
        <a:xfrm rot="10800000">
          <a:off x="9300065" y="1632014"/>
          <a:ext cx="91220" cy="226114"/>
        </a:xfrm>
        <a:custGeom>
          <a:avLst/>
          <a:gdLst>
            <a:gd name="connsiteX0" fmla="*/ 0 w 91220"/>
            <a:gd name="connsiteY0" fmla="*/ 0 h 226114"/>
            <a:gd name="connsiteX1" fmla="*/ 91221 w 91220"/>
            <a:gd name="connsiteY1" fmla="*/ 0 h 226114"/>
            <a:gd name="connsiteX2" fmla="*/ 91221 w 91220"/>
            <a:gd name="connsiteY2" fmla="*/ 226115 h 226114"/>
            <a:gd name="connsiteX3" fmla="*/ 0 w 91220"/>
            <a:gd name="connsiteY3" fmla="*/ 226115 h 226114"/>
          </a:gdLst>
          <a:ahLst/>
          <a:cxnLst>
            <a:cxn ang="0">
              <a:pos x="connsiteX0" y="connsiteY0"/>
            </a:cxn>
            <a:cxn ang="0">
              <a:pos x="connsiteX1" y="connsiteY1"/>
            </a:cxn>
            <a:cxn ang="0">
              <a:pos x="connsiteX2" y="connsiteY2"/>
            </a:cxn>
            <a:cxn ang="0">
              <a:pos x="connsiteX3" y="connsiteY3"/>
            </a:cxn>
          </a:cxnLst>
          <a:rect l="l" t="t" r="r" b="b"/>
          <a:pathLst>
            <a:path w="91220" h="226114">
              <a:moveTo>
                <a:pt x="0" y="0"/>
              </a:moveTo>
              <a:lnTo>
                <a:pt x="91221" y="0"/>
              </a:lnTo>
              <a:lnTo>
                <a:pt x="91221" y="226115"/>
              </a:lnTo>
              <a:lnTo>
                <a:pt x="0" y="226115"/>
              </a:lnTo>
              <a:close/>
            </a:path>
          </a:pathLst>
        </a:custGeom>
        <a:solidFill>
          <a:srgbClr val="C00000"/>
        </a:solidFill>
        <a:ln w="6052" cap="flat">
          <a:noFill/>
          <a:prstDash val="solid"/>
          <a:miter/>
        </a:ln>
      </xdr:spPr>
      <xdr:txBody>
        <a:bodyPr rtlCol="0" anchor="ctr"/>
        <a:lstStyle/>
        <a:p>
          <a:endParaRPr lang="en-IN"/>
        </a:p>
      </xdr:txBody>
    </xdr:sp>
    <xdr:clientData/>
  </xdr:twoCellAnchor>
  <xdr:twoCellAnchor>
    <xdr:from>
      <xdr:col>15</xdr:col>
      <xdr:colOff>61486</xdr:colOff>
      <xdr:row>9</xdr:row>
      <xdr:rowOff>124012</xdr:rowOff>
    </xdr:from>
    <xdr:to>
      <xdr:col>15</xdr:col>
      <xdr:colOff>152706</xdr:colOff>
      <xdr:row>10</xdr:row>
      <xdr:rowOff>63563</xdr:rowOff>
    </xdr:to>
    <xdr:sp macro="" textlink="">
      <xdr:nvSpPr>
        <xdr:cNvPr id="124" name="Freeform: Shape 123">
          <a:extLst>
            <a:ext uri="{FF2B5EF4-FFF2-40B4-BE49-F238E27FC236}">
              <a16:creationId xmlns:a16="http://schemas.microsoft.com/office/drawing/2014/main" id="{BFCB465F-595E-67E6-EBCD-F7AAEF6881E9}"/>
            </a:ext>
          </a:extLst>
        </xdr:cNvPr>
        <xdr:cNvSpPr/>
      </xdr:nvSpPr>
      <xdr:spPr>
        <a:xfrm rot="10800000">
          <a:off x="9172356" y="1739121"/>
          <a:ext cx="91220" cy="119007"/>
        </a:xfrm>
        <a:custGeom>
          <a:avLst/>
          <a:gdLst>
            <a:gd name="connsiteX0" fmla="*/ 0 w 91220"/>
            <a:gd name="connsiteY0" fmla="*/ 0 h 119007"/>
            <a:gd name="connsiteX1" fmla="*/ 91221 w 91220"/>
            <a:gd name="connsiteY1" fmla="*/ 0 h 119007"/>
            <a:gd name="connsiteX2" fmla="*/ 91221 w 91220"/>
            <a:gd name="connsiteY2" fmla="*/ 119008 h 119007"/>
            <a:gd name="connsiteX3" fmla="*/ 0 w 91220"/>
            <a:gd name="connsiteY3" fmla="*/ 119008 h 119007"/>
          </a:gdLst>
          <a:ahLst/>
          <a:cxnLst>
            <a:cxn ang="0">
              <a:pos x="connsiteX0" y="connsiteY0"/>
            </a:cxn>
            <a:cxn ang="0">
              <a:pos x="connsiteX1" y="connsiteY1"/>
            </a:cxn>
            <a:cxn ang="0">
              <a:pos x="connsiteX2" y="connsiteY2"/>
            </a:cxn>
            <a:cxn ang="0">
              <a:pos x="connsiteX3" y="connsiteY3"/>
            </a:cxn>
          </a:cxnLst>
          <a:rect l="l" t="t" r="r" b="b"/>
          <a:pathLst>
            <a:path w="91220" h="119007">
              <a:moveTo>
                <a:pt x="0" y="0"/>
              </a:moveTo>
              <a:lnTo>
                <a:pt x="91221" y="0"/>
              </a:lnTo>
              <a:lnTo>
                <a:pt x="91221" y="119008"/>
              </a:lnTo>
              <a:lnTo>
                <a:pt x="0" y="119008"/>
              </a:lnTo>
              <a:close/>
            </a:path>
          </a:pathLst>
        </a:custGeom>
        <a:solidFill>
          <a:srgbClr val="C00000"/>
        </a:solidFill>
        <a:ln w="6052" cap="flat">
          <a:noFill/>
          <a:prstDash val="solid"/>
          <a:miter/>
        </a:ln>
      </xdr:spPr>
      <xdr:txBody>
        <a:bodyPr rtlCol="0" anchor="ctr"/>
        <a:lstStyle/>
        <a:p>
          <a:endParaRPr lang="en-IN"/>
        </a:p>
      </xdr:txBody>
    </xdr:sp>
    <xdr:clientData/>
  </xdr:twoCellAnchor>
  <xdr:twoCellAnchor>
    <xdr:from>
      <xdr:col>15</xdr:col>
      <xdr:colOff>58992</xdr:colOff>
      <xdr:row>8</xdr:row>
      <xdr:rowOff>77355</xdr:rowOff>
    </xdr:from>
    <xdr:to>
      <xdr:col>15</xdr:col>
      <xdr:colOff>256090</xdr:colOff>
      <xdr:row>9</xdr:row>
      <xdr:rowOff>90749</xdr:rowOff>
    </xdr:to>
    <xdr:sp macro="" textlink="">
      <xdr:nvSpPr>
        <xdr:cNvPr id="125" name="Freeform: Shape 124">
          <a:extLst>
            <a:ext uri="{FF2B5EF4-FFF2-40B4-BE49-F238E27FC236}">
              <a16:creationId xmlns:a16="http://schemas.microsoft.com/office/drawing/2014/main" id="{A19E49EC-3A6B-8D1A-F6D9-6851D3E826A8}"/>
            </a:ext>
          </a:extLst>
        </xdr:cNvPr>
        <xdr:cNvSpPr/>
      </xdr:nvSpPr>
      <xdr:spPr>
        <a:xfrm>
          <a:off x="9169862" y="1513007"/>
          <a:ext cx="197098" cy="192851"/>
        </a:xfrm>
        <a:custGeom>
          <a:avLst/>
          <a:gdLst>
            <a:gd name="connsiteX0" fmla="*/ 197098 w 197098"/>
            <a:gd name="connsiteY0" fmla="*/ 81758 h 192851"/>
            <a:gd name="connsiteX1" fmla="*/ 197098 w 197098"/>
            <a:gd name="connsiteY1" fmla="*/ 0 h 192851"/>
            <a:gd name="connsiteX2" fmla="*/ 113540 w 197098"/>
            <a:gd name="connsiteY2" fmla="*/ 0 h 192851"/>
            <a:gd name="connsiteX3" fmla="*/ 146744 w 197098"/>
            <a:gd name="connsiteY3" fmla="*/ 32489 h 192851"/>
            <a:gd name="connsiteX4" fmla="*/ 0 w 197098"/>
            <a:gd name="connsiteY4" fmla="*/ 176072 h 192851"/>
            <a:gd name="connsiteX5" fmla="*/ 17150 w 197098"/>
            <a:gd name="connsiteY5" fmla="*/ 192852 h 192851"/>
            <a:gd name="connsiteX6" fmla="*/ 163894 w 197098"/>
            <a:gd name="connsiteY6" fmla="*/ 49329 h 192851"/>
            <a:gd name="connsiteX7" fmla="*/ 197098 w 197098"/>
            <a:gd name="connsiteY7" fmla="*/ 81758 h 1928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97098" h="192851">
              <a:moveTo>
                <a:pt x="197098" y="81758"/>
              </a:moveTo>
              <a:lnTo>
                <a:pt x="197098" y="0"/>
              </a:lnTo>
              <a:lnTo>
                <a:pt x="113540" y="0"/>
              </a:lnTo>
              <a:lnTo>
                <a:pt x="146744" y="32489"/>
              </a:lnTo>
              <a:lnTo>
                <a:pt x="0" y="176072"/>
              </a:lnTo>
              <a:lnTo>
                <a:pt x="17150" y="192852"/>
              </a:lnTo>
              <a:lnTo>
                <a:pt x="163894" y="49329"/>
              </a:lnTo>
              <a:lnTo>
                <a:pt x="197098" y="81758"/>
              </a:lnTo>
              <a:close/>
            </a:path>
          </a:pathLst>
        </a:custGeom>
        <a:solidFill>
          <a:srgbClr val="C00000"/>
        </a:solidFill>
        <a:ln w="6052" cap="flat">
          <a:noFill/>
          <a:prstDash val="solid"/>
          <a:miter/>
        </a:ln>
      </xdr:spPr>
      <xdr:txBody>
        <a:bodyPr rtlCol="0" anchor="ctr"/>
        <a:lstStyle/>
        <a:p>
          <a:endParaRPr lang="en-IN"/>
        </a:p>
      </xdr:txBody>
    </xdr:sp>
    <xdr:clientData/>
  </xdr:twoCellAnchor>
  <xdr:twoCellAnchor editAs="oneCell">
    <xdr:from>
      <xdr:col>24</xdr:col>
      <xdr:colOff>396909</xdr:colOff>
      <xdr:row>8</xdr:row>
      <xdr:rowOff>13804</xdr:rowOff>
    </xdr:from>
    <xdr:to>
      <xdr:col>25</xdr:col>
      <xdr:colOff>372717</xdr:colOff>
      <xdr:row>11</xdr:row>
      <xdr:rowOff>46671</xdr:rowOff>
    </xdr:to>
    <xdr:pic>
      <xdr:nvPicPr>
        <xdr:cNvPr id="40" name="Graphic 39" descr="Shopping cart with solid fill">
          <a:extLst>
            <a:ext uri="{FF2B5EF4-FFF2-40B4-BE49-F238E27FC236}">
              <a16:creationId xmlns:a16="http://schemas.microsoft.com/office/drawing/2014/main" id="{454ED256-BAD1-0098-F8CA-9C0AA9C9E4C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974300" y="1449456"/>
          <a:ext cx="583200" cy="571237"/>
        </a:xfrm>
        <a:prstGeom prst="rect">
          <a:avLst/>
        </a:prstGeom>
      </xdr:spPr>
    </xdr:pic>
    <xdr:clientData/>
  </xdr:twoCellAnchor>
  <xdr:twoCellAnchor editAs="oneCell">
    <xdr:from>
      <xdr:col>19</xdr:col>
      <xdr:colOff>286474</xdr:colOff>
      <xdr:row>8</xdr:row>
      <xdr:rowOff>0</xdr:rowOff>
    </xdr:from>
    <xdr:to>
      <xdr:col>20</xdr:col>
      <xdr:colOff>262283</xdr:colOff>
      <xdr:row>11</xdr:row>
      <xdr:rowOff>44830</xdr:rowOff>
    </xdr:to>
    <xdr:pic>
      <xdr:nvPicPr>
        <xdr:cNvPr id="117" name="Graphic 116" descr="Coins with solid fill">
          <a:extLst>
            <a:ext uri="{FF2B5EF4-FFF2-40B4-BE49-F238E27FC236}">
              <a16:creationId xmlns:a16="http://schemas.microsoft.com/office/drawing/2014/main" id="{7449BC37-482B-C90B-6B92-9B763748061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26909" y="1435652"/>
          <a:ext cx="583200" cy="583200"/>
        </a:xfrm>
        <a:prstGeom prst="rect">
          <a:avLst/>
        </a:prstGeom>
      </xdr:spPr>
    </xdr:pic>
    <xdr:clientData/>
  </xdr:twoCellAnchor>
  <xdr:twoCellAnchor>
    <xdr:from>
      <xdr:col>6</xdr:col>
      <xdr:colOff>151083</xdr:colOff>
      <xdr:row>15</xdr:row>
      <xdr:rowOff>102833</xdr:rowOff>
    </xdr:from>
    <xdr:to>
      <xdr:col>17</xdr:col>
      <xdr:colOff>320417</xdr:colOff>
      <xdr:row>30</xdr:row>
      <xdr:rowOff>75224</xdr:rowOff>
    </xdr:to>
    <xdr:grpSp>
      <xdr:nvGrpSpPr>
        <xdr:cNvPr id="160" name="Group 159">
          <a:extLst>
            <a:ext uri="{FF2B5EF4-FFF2-40B4-BE49-F238E27FC236}">
              <a16:creationId xmlns:a16="http://schemas.microsoft.com/office/drawing/2014/main" id="{757B2B4F-066B-D969-15F1-E34828F36083}"/>
            </a:ext>
          </a:extLst>
        </xdr:cNvPr>
        <xdr:cNvGrpSpPr/>
      </xdr:nvGrpSpPr>
      <xdr:grpSpPr>
        <a:xfrm>
          <a:off x="3834083" y="2801583"/>
          <a:ext cx="6921501" cy="2671141"/>
          <a:chOff x="3769681" y="2749038"/>
          <a:chExt cx="6821715" cy="2693819"/>
        </a:xfrm>
      </xdr:grpSpPr>
      <xdr:sp macro="" textlink="">
        <xdr:nvSpPr>
          <xdr:cNvPr id="16" name="Rectangle: Rounded Corners 15">
            <a:extLst>
              <a:ext uri="{FF2B5EF4-FFF2-40B4-BE49-F238E27FC236}">
                <a16:creationId xmlns:a16="http://schemas.microsoft.com/office/drawing/2014/main" id="{983397A3-3936-4170-8E84-E7A4C89E9965}"/>
              </a:ext>
            </a:extLst>
          </xdr:cNvPr>
          <xdr:cNvSpPr/>
        </xdr:nvSpPr>
        <xdr:spPr>
          <a:xfrm>
            <a:off x="3769681" y="2793394"/>
            <a:ext cx="6821715" cy="2649463"/>
          </a:xfrm>
          <a:prstGeom prst="roundRect">
            <a:avLst>
              <a:gd name="adj" fmla="val 343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132" name="Chart 131">
            <a:extLst>
              <a:ext uri="{FF2B5EF4-FFF2-40B4-BE49-F238E27FC236}">
                <a16:creationId xmlns:a16="http://schemas.microsoft.com/office/drawing/2014/main" id="{727B0577-AD75-47F1-8EFB-536C0D8A8B19}"/>
              </a:ext>
            </a:extLst>
          </xdr:cNvPr>
          <xdr:cNvGraphicFramePr>
            <a:graphicFrameLocks/>
          </xdr:cNvGraphicFramePr>
        </xdr:nvGraphicFramePr>
        <xdr:xfrm>
          <a:off x="3995459" y="3084286"/>
          <a:ext cx="6367706" cy="2358571"/>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34" name="TextBox 133">
            <a:extLst>
              <a:ext uri="{FF2B5EF4-FFF2-40B4-BE49-F238E27FC236}">
                <a16:creationId xmlns:a16="http://schemas.microsoft.com/office/drawing/2014/main" id="{D53769DA-274D-4A82-B1F3-223067724D1E}"/>
              </a:ext>
            </a:extLst>
          </xdr:cNvPr>
          <xdr:cNvSpPr txBox="1"/>
        </xdr:nvSpPr>
        <xdr:spPr>
          <a:xfrm>
            <a:off x="3890853" y="2749038"/>
            <a:ext cx="2446657" cy="33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rgbClr val="000000"/>
                </a:solidFill>
                <a:latin typeface="Calibri"/>
                <a:ea typeface="Calibri"/>
                <a:cs typeface="Calibri"/>
              </a:rPr>
              <a:t>TARGET REVENUE</a:t>
            </a:r>
            <a:r>
              <a:rPr lang="en-US" sz="1400" b="1" i="0" u="none" strike="noStrike" baseline="0">
                <a:solidFill>
                  <a:srgbClr val="000000"/>
                </a:solidFill>
                <a:latin typeface="Calibri"/>
                <a:ea typeface="Calibri"/>
                <a:cs typeface="Calibri"/>
              </a:rPr>
              <a:t> VS ACTUAL</a:t>
            </a:r>
            <a:endParaRPr lang="en-US" sz="1400" b="1" i="0" u="none" strike="noStrike">
              <a:solidFill>
                <a:srgbClr val="000000"/>
              </a:solidFill>
              <a:latin typeface="Calibri"/>
              <a:ea typeface="Calibri"/>
              <a:cs typeface="Calibri"/>
            </a:endParaRPr>
          </a:p>
        </xdr:txBody>
      </xdr:sp>
    </xdr:grpSp>
    <xdr:clientData/>
  </xdr:twoCellAnchor>
  <xdr:twoCellAnchor>
    <xdr:from>
      <xdr:col>6</xdr:col>
      <xdr:colOff>168299</xdr:colOff>
      <xdr:row>31</xdr:row>
      <xdr:rowOff>40532</xdr:rowOff>
    </xdr:from>
    <xdr:to>
      <xdr:col>12</xdr:col>
      <xdr:colOff>476476</xdr:colOff>
      <xdr:row>46</xdr:row>
      <xdr:rowOff>27034</xdr:rowOff>
    </xdr:to>
    <xdr:grpSp>
      <xdr:nvGrpSpPr>
        <xdr:cNvPr id="157" name="Group 156">
          <a:extLst>
            <a:ext uri="{FF2B5EF4-FFF2-40B4-BE49-F238E27FC236}">
              <a16:creationId xmlns:a16="http://schemas.microsoft.com/office/drawing/2014/main" id="{EDBC5398-8E75-9F3B-6025-D2EA52506185}"/>
            </a:ext>
          </a:extLst>
        </xdr:cNvPr>
        <xdr:cNvGrpSpPr/>
      </xdr:nvGrpSpPr>
      <xdr:grpSpPr>
        <a:xfrm>
          <a:off x="3851299" y="5617949"/>
          <a:ext cx="3991177" cy="2685252"/>
          <a:chOff x="3796870" y="5289038"/>
          <a:chExt cx="3936749" cy="2707930"/>
        </a:xfrm>
      </xdr:grpSpPr>
      <xdr:sp macro="" textlink="">
        <xdr:nvSpPr>
          <xdr:cNvPr id="18" name="Rectangle: Rounded Corners 17">
            <a:extLst>
              <a:ext uri="{FF2B5EF4-FFF2-40B4-BE49-F238E27FC236}">
                <a16:creationId xmlns:a16="http://schemas.microsoft.com/office/drawing/2014/main" id="{232F107D-9A63-4F7E-AE10-B836653EE003}"/>
              </a:ext>
            </a:extLst>
          </xdr:cNvPr>
          <xdr:cNvSpPr/>
        </xdr:nvSpPr>
        <xdr:spPr>
          <a:xfrm>
            <a:off x="3803069" y="5289653"/>
            <a:ext cx="3930550" cy="2707315"/>
          </a:xfrm>
          <a:prstGeom prst="roundRect">
            <a:avLst>
              <a:gd name="adj" fmla="val 267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35" name="TextBox 134">
            <a:extLst>
              <a:ext uri="{FF2B5EF4-FFF2-40B4-BE49-F238E27FC236}">
                <a16:creationId xmlns:a16="http://schemas.microsoft.com/office/drawing/2014/main" id="{ABC26ACA-4036-4083-9642-6D095995F3F5}"/>
              </a:ext>
            </a:extLst>
          </xdr:cNvPr>
          <xdr:cNvSpPr txBox="1"/>
        </xdr:nvSpPr>
        <xdr:spPr>
          <a:xfrm>
            <a:off x="3858252" y="5289038"/>
            <a:ext cx="2756815" cy="33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rgbClr val="000000"/>
                </a:solidFill>
                <a:latin typeface="Calibri"/>
                <a:ea typeface="Calibri"/>
                <a:cs typeface="Calibri"/>
              </a:rPr>
              <a:t>REVENUE</a:t>
            </a:r>
            <a:r>
              <a:rPr lang="en-US" sz="1400" b="1" i="0" u="none" strike="noStrike" baseline="0">
                <a:solidFill>
                  <a:srgbClr val="000000"/>
                </a:solidFill>
                <a:latin typeface="Calibri"/>
                <a:ea typeface="Calibri"/>
                <a:cs typeface="Calibri"/>
              </a:rPr>
              <a:t> BY COUNTRY</a:t>
            </a:r>
            <a:endParaRPr lang="en-US" sz="1400" b="1" i="0" u="none" strike="noStrike">
              <a:solidFill>
                <a:srgbClr val="000000"/>
              </a:solidFill>
              <a:latin typeface="Calibri"/>
              <a:ea typeface="Calibri"/>
              <a:cs typeface="Calibri"/>
            </a:endParaRPr>
          </a:p>
        </xdr:txBody>
      </xdr:sp>
      <xdr:graphicFrame macro="">
        <xdr:nvGraphicFramePr>
          <xdr:cNvPr id="136" name="Chart 135">
            <a:extLst>
              <a:ext uri="{FF2B5EF4-FFF2-40B4-BE49-F238E27FC236}">
                <a16:creationId xmlns:a16="http://schemas.microsoft.com/office/drawing/2014/main" id="{5B9423C6-8280-4989-8E1D-057683FB3992}"/>
              </a:ext>
            </a:extLst>
          </xdr:cNvPr>
          <xdr:cNvGraphicFramePr>
            <a:graphicFrameLocks/>
          </xdr:cNvGraphicFramePr>
        </xdr:nvGraphicFramePr>
        <xdr:xfrm>
          <a:off x="3796870" y="5664818"/>
          <a:ext cx="3850699" cy="231803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13</xdr:col>
      <xdr:colOff>103902</xdr:colOff>
      <xdr:row>31</xdr:row>
      <xdr:rowOff>92083</xdr:rowOff>
    </xdr:from>
    <xdr:to>
      <xdr:col>19</xdr:col>
      <xdr:colOff>405879</xdr:colOff>
      <xdr:row>46</xdr:row>
      <xdr:rowOff>78585</xdr:rowOff>
    </xdr:to>
    <xdr:grpSp>
      <xdr:nvGrpSpPr>
        <xdr:cNvPr id="158" name="Group 157">
          <a:extLst>
            <a:ext uri="{FF2B5EF4-FFF2-40B4-BE49-F238E27FC236}">
              <a16:creationId xmlns:a16="http://schemas.microsoft.com/office/drawing/2014/main" id="{76A1BC91-262F-0847-D999-DB5E15A4D38A}"/>
            </a:ext>
          </a:extLst>
        </xdr:cNvPr>
        <xdr:cNvGrpSpPr/>
      </xdr:nvGrpSpPr>
      <xdr:grpSpPr>
        <a:xfrm>
          <a:off x="8083735" y="5669500"/>
          <a:ext cx="3984977" cy="2685252"/>
          <a:chOff x="8010072" y="5289038"/>
          <a:chExt cx="3930548" cy="2707930"/>
        </a:xfrm>
      </xdr:grpSpPr>
      <xdr:sp macro="" textlink="">
        <xdr:nvSpPr>
          <xdr:cNvPr id="24" name="Rectangle: Rounded Corners 23">
            <a:extLst>
              <a:ext uri="{FF2B5EF4-FFF2-40B4-BE49-F238E27FC236}">
                <a16:creationId xmlns:a16="http://schemas.microsoft.com/office/drawing/2014/main" id="{3AC03508-2C9C-44EB-BBCE-BABAE6294915}"/>
              </a:ext>
            </a:extLst>
          </xdr:cNvPr>
          <xdr:cNvSpPr/>
        </xdr:nvSpPr>
        <xdr:spPr>
          <a:xfrm>
            <a:off x="8010072" y="5289653"/>
            <a:ext cx="3930548" cy="2707315"/>
          </a:xfrm>
          <a:prstGeom prst="roundRect">
            <a:avLst>
              <a:gd name="adj" fmla="val 355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137" name="Chart 136">
            <a:extLst>
              <a:ext uri="{FF2B5EF4-FFF2-40B4-BE49-F238E27FC236}">
                <a16:creationId xmlns:a16="http://schemas.microsoft.com/office/drawing/2014/main" id="{B38F4B1E-FB4E-42B4-ABF7-C4503A6BCCE2}"/>
              </a:ext>
            </a:extLst>
          </xdr:cNvPr>
          <xdr:cNvGraphicFramePr>
            <a:graphicFrameLocks/>
          </xdr:cNvGraphicFramePr>
        </xdr:nvGraphicFramePr>
        <xdr:xfrm>
          <a:off x="8175997" y="5624286"/>
          <a:ext cx="3598698" cy="2372682"/>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38" name="TextBox 137">
            <a:extLst>
              <a:ext uri="{FF2B5EF4-FFF2-40B4-BE49-F238E27FC236}">
                <a16:creationId xmlns:a16="http://schemas.microsoft.com/office/drawing/2014/main" id="{EF50B9C0-B1C4-4488-B797-C7F4EB034351}"/>
              </a:ext>
            </a:extLst>
          </xdr:cNvPr>
          <xdr:cNvSpPr txBox="1"/>
        </xdr:nvSpPr>
        <xdr:spPr>
          <a:xfrm>
            <a:off x="8132117" y="5289038"/>
            <a:ext cx="2753597" cy="33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rgbClr val="000000"/>
                </a:solidFill>
                <a:latin typeface="Calibri"/>
                <a:ea typeface="Calibri"/>
                <a:cs typeface="Calibri"/>
              </a:rPr>
              <a:t>REVENUE</a:t>
            </a:r>
            <a:r>
              <a:rPr lang="en-US" sz="1400" b="1" i="0" u="none" strike="noStrike" baseline="0">
                <a:solidFill>
                  <a:srgbClr val="000000"/>
                </a:solidFill>
                <a:latin typeface="Calibri"/>
                <a:ea typeface="Calibri"/>
                <a:cs typeface="Calibri"/>
              </a:rPr>
              <a:t> BY SEGMENT</a:t>
            </a:r>
            <a:endParaRPr lang="en-US" sz="1400" b="1" i="0" u="none" strike="noStrike">
              <a:solidFill>
                <a:srgbClr val="000000"/>
              </a:solidFill>
              <a:latin typeface="Calibri"/>
              <a:ea typeface="Calibri"/>
              <a:cs typeface="Calibri"/>
            </a:endParaRPr>
          </a:p>
        </xdr:txBody>
      </xdr:sp>
    </xdr:grpSp>
    <xdr:clientData/>
  </xdr:twoCellAnchor>
  <xdr:twoCellAnchor>
    <xdr:from>
      <xdr:col>20</xdr:col>
      <xdr:colOff>70173</xdr:colOff>
      <xdr:row>31</xdr:row>
      <xdr:rowOff>102632</xdr:rowOff>
    </xdr:from>
    <xdr:to>
      <xdr:col>26</xdr:col>
      <xdr:colOff>372151</xdr:colOff>
      <xdr:row>46</xdr:row>
      <xdr:rowOff>88519</xdr:rowOff>
    </xdr:to>
    <xdr:grpSp>
      <xdr:nvGrpSpPr>
        <xdr:cNvPr id="159" name="Group 158">
          <a:extLst>
            <a:ext uri="{FF2B5EF4-FFF2-40B4-BE49-F238E27FC236}">
              <a16:creationId xmlns:a16="http://schemas.microsoft.com/office/drawing/2014/main" id="{7B61E3DF-B277-880C-61BD-63043D29D11D}"/>
            </a:ext>
          </a:extLst>
        </xdr:cNvPr>
        <xdr:cNvGrpSpPr/>
      </xdr:nvGrpSpPr>
      <xdr:grpSpPr>
        <a:xfrm>
          <a:off x="12346840" y="5680049"/>
          <a:ext cx="3984978" cy="2684637"/>
          <a:chOff x="12188371" y="5289653"/>
          <a:chExt cx="3930550" cy="2707315"/>
        </a:xfrm>
      </xdr:grpSpPr>
      <xdr:sp macro="" textlink="">
        <xdr:nvSpPr>
          <xdr:cNvPr id="23" name="Rectangle: Rounded Corners 22">
            <a:extLst>
              <a:ext uri="{FF2B5EF4-FFF2-40B4-BE49-F238E27FC236}">
                <a16:creationId xmlns:a16="http://schemas.microsoft.com/office/drawing/2014/main" id="{B855D10B-5EBD-4FB4-9334-B21521D96B6A}"/>
              </a:ext>
            </a:extLst>
          </xdr:cNvPr>
          <xdr:cNvSpPr/>
        </xdr:nvSpPr>
        <xdr:spPr>
          <a:xfrm>
            <a:off x="12188371" y="5289653"/>
            <a:ext cx="3930550" cy="2707315"/>
          </a:xfrm>
          <a:prstGeom prst="roundRect">
            <a:avLst>
              <a:gd name="adj" fmla="val 359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139" name="Chart 138">
            <a:extLst>
              <a:ext uri="{FF2B5EF4-FFF2-40B4-BE49-F238E27FC236}">
                <a16:creationId xmlns:a16="http://schemas.microsoft.com/office/drawing/2014/main" id="{06403D36-AD4B-43A8-8F11-3E5F59632E9E}"/>
              </a:ext>
            </a:extLst>
          </xdr:cNvPr>
          <xdr:cNvGraphicFramePr>
            <a:graphicFrameLocks/>
          </xdr:cNvGraphicFramePr>
        </xdr:nvGraphicFramePr>
        <xdr:xfrm>
          <a:off x="12188371" y="5624287"/>
          <a:ext cx="3893899" cy="2358571"/>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40" name="TextBox 139">
            <a:extLst>
              <a:ext uri="{FF2B5EF4-FFF2-40B4-BE49-F238E27FC236}">
                <a16:creationId xmlns:a16="http://schemas.microsoft.com/office/drawing/2014/main" id="{1AD1D3BC-9381-482F-B97C-C249A80691F8}"/>
              </a:ext>
            </a:extLst>
          </xdr:cNvPr>
          <xdr:cNvSpPr txBox="1"/>
        </xdr:nvSpPr>
        <xdr:spPr>
          <a:xfrm>
            <a:off x="12188371" y="5289653"/>
            <a:ext cx="2756815" cy="33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rgbClr val="000000"/>
                </a:solidFill>
                <a:latin typeface="Calibri"/>
                <a:ea typeface="Calibri"/>
                <a:cs typeface="Calibri"/>
              </a:rPr>
              <a:t>UNIT</a:t>
            </a:r>
            <a:r>
              <a:rPr lang="en-US" sz="1400" b="1" i="0" u="none" strike="noStrike" baseline="0">
                <a:solidFill>
                  <a:srgbClr val="000000"/>
                </a:solidFill>
                <a:latin typeface="Calibri"/>
                <a:ea typeface="Calibri"/>
                <a:cs typeface="Calibri"/>
              </a:rPr>
              <a:t> SOLD BY PRODUCT</a:t>
            </a:r>
            <a:endParaRPr lang="en-US" sz="1400" b="1" i="0" u="none" strike="noStrike">
              <a:solidFill>
                <a:srgbClr val="000000"/>
              </a:solidFill>
              <a:latin typeface="Calibri"/>
              <a:ea typeface="Calibri"/>
              <a:cs typeface="Calibri"/>
            </a:endParaRPr>
          </a:p>
        </xdr:txBody>
      </xdr:sp>
    </xdr:grpSp>
    <xdr:clientData/>
  </xdr:twoCellAnchor>
  <xdr:twoCellAnchor>
    <xdr:from>
      <xdr:col>17</xdr:col>
      <xdr:colOff>537537</xdr:colOff>
      <xdr:row>15</xdr:row>
      <xdr:rowOff>136071</xdr:rowOff>
    </xdr:from>
    <xdr:to>
      <xdr:col>26</xdr:col>
      <xdr:colOff>372151</xdr:colOff>
      <xdr:row>30</xdr:row>
      <xdr:rowOff>129426</xdr:rowOff>
    </xdr:to>
    <xdr:grpSp>
      <xdr:nvGrpSpPr>
        <xdr:cNvPr id="162" name="Group 161">
          <a:extLst>
            <a:ext uri="{FF2B5EF4-FFF2-40B4-BE49-F238E27FC236}">
              <a16:creationId xmlns:a16="http://schemas.microsoft.com/office/drawing/2014/main" id="{1574E775-BEAF-F0EB-A1E2-0A126586017A}"/>
            </a:ext>
          </a:extLst>
        </xdr:cNvPr>
        <xdr:cNvGrpSpPr/>
      </xdr:nvGrpSpPr>
      <xdr:grpSpPr>
        <a:xfrm>
          <a:off x="10972704" y="2834821"/>
          <a:ext cx="5359114" cy="2692105"/>
          <a:chOff x="10841449" y="2728074"/>
          <a:chExt cx="5277472" cy="2714783"/>
        </a:xfrm>
      </xdr:grpSpPr>
      <xdr:sp macro="" textlink="">
        <xdr:nvSpPr>
          <xdr:cNvPr id="17" name="Rectangle: Rounded Corners 16">
            <a:extLst>
              <a:ext uri="{FF2B5EF4-FFF2-40B4-BE49-F238E27FC236}">
                <a16:creationId xmlns:a16="http://schemas.microsoft.com/office/drawing/2014/main" id="{C2C047F2-FC74-4320-BE12-1F3B6973CF2B}"/>
              </a:ext>
            </a:extLst>
          </xdr:cNvPr>
          <xdr:cNvSpPr/>
        </xdr:nvSpPr>
        <xdr:spPr>
          <a:xfrm>
            <a:off x="10841449" y="2728074"/>
            <a:ext cx="5277472" cy="2682933"/>
          </a:xfrm>
          <a:prstGeom prst="roundRect">
            <a:avLst>
              <a:gd name="adj" fmla="val 416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141" name="Chart 140">
            <a:extLst>
              <a:ext uri="{FF2B5EF4-FFF2-40B4-BE49-F238E27FC236}">
                <a16:creationId xmlns:a16="http://schemas.microsoft.com/office/drawing/2014/main" id="{453A3CD2-DF57-4CD0-B322-B4022632F464}"/>
              </a:ext>
            </a:extLst>
          </xdr:cNvPr>
          <xdr:cNvGraphicFramePr>
            <a:graphicFrameLocks/>
          </xdr:cNvGraphicFramePr>
        </xdr:nvGraphicFramePr>
        <xdr:xfrm>
          <a:off x="10885714" y="3136246"/>
          <a:ext cx="5197866" cy="2306611"/>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42" name="TextBox 141">
            <a:extLst>
              <a:ext uri="{FF2B5EF4-FFF2-40B4-BE49-F238E27FC236}">
                <a16:creationId xmlns:a16="http://schemas.microsoft.com/office/drawing/2014/main" id="{CD8F430B-82CD-472D-946E-AF87FB8AE9DA}"/>
              </a:ext>
            </a:extLst>
          </xdr:cNvPr>
          <xdr:cNvSpPr txBox="1"/>
        </xdr:nvSpPr>
        <xdr:spPr>
          <a:xfrm>
            <a:off x="10861322" y="2749038"/>
            <a:ext cx="2443440" cy="387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rgbClr val="000000"/>
                </a:solidFill>
                <a:latin typeface="Calibri"/>
                <a:ea typeface="Calibri"/>
                <a:cs typeface="Calibri"/>
              </a:rPr>
              <a:t>PROFIT</a:t>
            </a:r>
            <a:r>
              <a:rPr lang="en-US" sz="1400" b="1" i="0" u="none" strike="noStrike" baseline="0">
                <a:solidFill>
                  <a:srgbClr val="000000"/>
                </a:solidFill>
                <a:latin typeface="Calibri"/>
                <a:ea typeface="Calibri"/>
                <a:cs typeface="Calibri"/>
              </a:rPr>
              <a:t> BY PRODUCTS</a:t>
            </a:r>
          </a:p>
        </xdr:txBody>
      </xdr:sp>
    </xdr:grpSp>
    <xdr:clientData/>
  </xdr:twoCellAnchor>
  <xdr:twoCellAnchor editAs="oneCell">
    <xdr:from>
      <xdr:col>2</xdr:col>
      <xdr:colOff>351463</xdr:colOff>
      <xdr:row>7</xdr:row>
      <xdr:rowOff>178390</xdr:rowOff>
    </xdr:from>
    <xdr:to>
      <xdr:col>5</xdr:col>
      <xdr:colOff>351462</xdr:colOff>
      <xdr:row>12</xdr:row>
      <xdr:rowOff>178390</xdr:rowOff>
    </xdr:to>
    <mc:AlternateContent xmlns:mc="http://schemas.openxmlformats.org/markup-compatibility/2006" xmlns:a14="http://schemas.microsoft.com/office/drawing/2010/main">
      <mc:Choice Requires="a14">
        <xdr:graphicFrame macro="">
          <xdr:nvGraphicFramePr>
            <xdr:cNvPr id="143" name="Year">
              <a:extLst>
                <a:ext uri="{FF2B5EF4-FFF2-40B4-BE49-F238E27FC236}">
                  <a16:creationId xmlns:a16="http://schemas.microsoft.com/office/drawing/2014/main" id="{754115F1-087B-4A84-B121-601B4C6A6B7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59512" y="1479366"/>
              <a:ext cx="1812072" cy="9292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340410</xdr:colOff>
      <xdr:row>13</xdr:row>
      <xdr:rowOff>78811</xdr:rowOff>
    </xdr:from>
    <xdr:to>
      <xdr:col>5</xdr:col>
      <xdr:colOff>345273</xdr:colOff>
      <xdr:row>34</xdr:row>
      <xdr:rowOff>0</xdr:rowOff>
    </xdr:to>
    <mc:AlternateContent xmlns:mc="http://schemas.openxmlformats.org/markup-compatibility/2006" xmlns:a14="http://schemas.microsoft.com/office/drawing/2010/main">
      <mc:Choice Requires="a14">
        <xdr:graphicFrame macro="">
          <xdr:nvGraphicFramePr>
            <xdr:cNvPr id="144" name="Month">
              <a:extLst>
                <a:ext uri="{FF2B5EF4-FFF2-40B4-BE49-F238E27FC236}">
                  <a16:creationId xmlns:a16="http://schemas.microsoft.com/office/drawing/2014/main" id="{1392D62C-4D1D-4F7A-BF06-C295DC5548D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48459" y="2494909"/>
              <a:ext cx="1816936" cy="38241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17</xdr:col>
      <xdr:colOff>310444</xdr:colOff>
      <xdr:row>2</xdr:row>
      <xdr:rowOff>14778</xdr:rowOff>
    </xdr:from>
    <xdr:to>
      <xdr:col>26</xdr:col>
      <xdr:colOff>-1</xdr:colOff>
      <xdr:row>6</xdr:row>
      <xdr:rowOff>132704</xdr:rowOff>
    </xdr:to>
    <mc:AlternateContent xmlns:mc="http://schemas.openxmlformats.org/markup-compatibility/2006" xmlns:a14="http://schemas.microsoft.com/office/drawing/2010/main">
      <mc:Choice Requires="a14">
        <xdr:graphicFrame macro="">
          <xdr:nvGraphicFramePr>
            <xdr:cNvPr id="145" name="Quarter">
              <a:extLst>
                <a:ext uri="{FF2B5EF4-FFF2-40B4-BE49-F238E27FC236}">
                  <a16:creationId xmlns:a16="http://schemas.microsoft.com/office/drawing/2014/main" id="{375C4C1D-CB88-481B-A856-4A5F4C2AD28C}"/>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0578859" y="386485"/>
              <a:ext cx="5125774" cy="8613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351463</xdr:colOff>
      <xdr:row>34</xdr:row>
      <xdr:rowOff>91720</xdr:rowOff>
    </xdr:from>
    <xdr:to>
      <xdr:col>5</xdr:col>
      <xdr:colOff>345273</xdr:colOff>
      <xdr:row>45</xdr:row>
      <xdr:rowOff>0</xdr:rowOff>
    </xdr:to>
    <mc:AlternateContent xmlns:mc="http://schemas.openxmlformats.org/markup-compatibility/2006" xmlns:a14="http://schemas.microsoft.com/office/drawing/2010/main">
      <mc:Choice Requires="a14">
        <xdr:graphicFrame macro="">
          <xdr:nvGraphicFramePr>
            <xdr:cNvPr id="146" name="Segment">
              <a:extLst>
                <a:ext uri="{FF2B5EF4-FFF2-40B4-BE49-F238E27FC236}">
                  <a16:creationId xmlns:a16="http://schemas.microsoft.com/office/drawing/2014/main" id="{CD0B2A72-0C1B-43BC-BE61-D797A8F27551}"/>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559512" y="6410744"/>
              <a:ext cx="1805883" cy="19526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442177</xdr:colOff>
      <xdr:row>3</xdr:row>
      <xdr:rowOff>64128</xdr:rowOff>
    </xdr:from>
    <xdr:to>
      <xdr:col>5</xdr:col>
      <xdr:colOff>345272</xdr:colOff>
      <xdr:row>6</xdr:row>
      <xdr:rowOff>132704</xdr:rowOff>
    </xdr:to>
    <xdr:pic>
      <xdr:nvPicPr>
        <xdr:cNvPr id="164" name="Graphic 163" descr="Shopping cart with solid fill">
          <a:extLst>
            <a:ext uri="{FF2B5EF4-FFF2-40B4-BE49-F238E27FC236}">
              <a16:creationId xmlns:a16="http://schemas.microsoft.com/office/drawing/2014/main" id="{5B1D51FE-9472-EB7D-8314-3EB6FF0FD5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651701" y="608414"/>
          <a:ext cx="1717381" cy="612861"/>
        </a:xfrm>
        <a:prstGeom prst="rect">
          <a:avLst/>
        </a:prstGeom>
        <a:effectLst>
          <a:glow rad="63500">
            <a:schemeClr val="accent6">
              <a:satMod val="175000"/>
              <a:alpha val="40000"/>
            </a:schemeClr>
          </a:glow>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endra" refreshedDate="45987.812215046295" createdVersion="8" refreshedVersion="8" minRefreshableVersion="3" recordCount="700" xr:uid="{E6F71C38-01C6-485C-A69E-2198779E18BB}">
  <cacheSource type="worksheet">
    <worksheetSource name="Data"/>
  </cacheSource>
  <cacheFields count="20">
    <cacheField name="Segment" numFmtId="0">
      <sharedItems count="5">
        <s v="Enterprise"/>
        <s v="Midmarket"/>
        <s v="Government"/>
        <s v="Small Business"/>
        <s v="Channel Partners"/>
      </sharedItems>
    </cacheField>
    <cacheField name="Country" numFmtId="0">
      <sharedItems count="8">
        <s v="USA"/>
        <s v="Canada"/>
        <s v="France"/>
        <s v="India"/>
        <s v="Japan"/>
        <s v="England"/>
        <s v="Germany"/>
        <s v="Italy"/>
      </sharedItems>
    </cacheField>
    <cacheField name="Product_Name" numFmtId="0">
      <sharedItems count="6">
        <s v="X-Terrain"/>
        <s v="City Cruiser"/>
        <s v="Speedster"/>
        <s v="Trail Master"/>
        <s v="Road Racer"/>
        <s v="Yellow Edition"/>
      </sharedItems>
    </cacheField>
    <cacheField name="Customer_ID" numFmtId="0">
      <sharedItems/>
    </cacheField>
    <cacheField name="Product_ID" numFmtId="0">
      <sharedItems/>
    </cacheField>
    <cacheField name="Customer_Name" numFmtId="0">
      <sharedItems count="94">
        <s v="James Smith"/>
        <s v="Emma Johnson"/>
        <s v="Olivia Brown"/>
        <s v="Ethan Miller"/>
        <s v="Isabella Wilson"/>
        <s v="Benjamin Martinez"/>
        <s v="Mia Thomas"/>
        <s v="Logan Jackson"/>
        <s v="Abigail Robinson"/>
        <s v="Aiden Lewis"/>
        <s v="Sebastian Lee"/>
        <s v="Elizabeth Green"/>
        <s v="Alexander Perez"/>
        <s v="Avery Turner"/>
        <s v="Sophia Turner"/>
        <s v="Benjamin Lee"/>
        <s v="Mia White"/>
        <s v="Henry Martinez"/>
        <s v="Abigail Lewis"/>
        <s v="Sebastian Phillips"/>
        <s v="Logan Garcia"/>
        <s v="Alexander Hill"/>
        <s v="Michael Wilson"/>
        <s v="Samuel Johnson"/>
        <s v="Elijah Perez"/>
        <s v="Mia Hill"/>
        <s v="Logan Phillips"/>
        <s v="Charlotte Martin"/>
        <s v="Samuel Hill"/>
        <s v="Henry Turner"/>
        <s v="Amelia Perez"/>
        <s v="Jackson Hill"/>
        <s v="Emily Garcia"/>
        <s v="Benjamin Martin"/>
        <s v="Harper Wilson"/>
        <s v="Mia Lewis"/>
        <s v="Logan Clark"/>
        <s v="Samuel Wilson"/>
        <s v="Henry Phillips"/>
        <s v="Amelia Martin"/>
        <s v="Aiden Perez"/>
        <s v="Mia Turner"/>
        <s v="Emily Hill"/>
        <s v="Harper Hill"/>
        <s v="Jackson Lewis"/>
        <s v="Aiden Anderson"/>
        <s v="Samuel Turner"/>
        <s v="Harper Martin"/>
        <s v="Henry Garcia"/>
        <s v="Amelia Phillips"/>
        <s v="Abigail Martin"/>
        <s v="Avery Anderson"/>
        <s v="Aiden Garcia"/>
        <s v="Sofia Turner"/>
        <s v="Benjamin Garcia"/>
        <s v="Ava Davis"/>
        <s v="Henry Martin"/>
        <s v="Amelia Hill"/>
        <s v="Michael Hill"/>
        <s v="Samuel Taylor"/>
        <s v="Jackson Turner"/>
        <s v="Aiden Hill"/>
        <s v="Charlotte Hill"/>
        <s v="Charlotte White"/>
        <s v="Elizabeth Martin"/>
        <s v="Amelia Garcia"/>
        <s v="Harper Turner"/>
        <s v="Harper Anderson"/>
        <s v="Amelia Wilson"/>
        <s v="Logan Martin"/>
        <s v="Benjamin Phillips"/>
        <s v="Liam Jones"/>
        <s v="Abigail Garcia"/>
        <s v="Charlotte Anderson"/>
        <s v="Aiden Martin"/>
        <s v="Abigail Phillips"/>
        <s v="Charlotte Davis"/>
        <s v="Harper Davis"/>
        <s v="Sophia Anderson"/>
        <s v="Emily Martin"/>
        <s v="Noah Williams"/>
        <s v="Aiden Clark"/>
        <s v="Samuel Phillips"/>
        <s v="Elijah Martin"/>
        <s v="Henry Anderson"/>
        <s v="Charlotte Garcia"/>
        <s v="Sofia Phillips"/>
        <s v="Benjamin Hill"/>
        <s v="Mason Taylor"/>
        <s v="Emily Phillips"/>
        <s v="Jackson Martinez"/>
        <s v="Harper Phillips"/>
        <s v="Abigail Clark"/>
        <s v="Emily Clark"/>
      </sharedItems>
    </cacheField>
    <cacheField name="Discount Band" numFmtId="0">
      <sharedItems/>
    </cacheField>
    <cacheField name="Date" numFmtId="14">
      <sharedItems containsSemiMixedTypes="0" containsNonDate="0" containsDate="1" containsString="0" minDate="2020-01-02T00:00:00" maxDate="2022-01-01T00:00:00"/>
    </cacheField>
    <cacheField name="Month" numFmtId="0">
      <sharedItems count="12">
        <s v="Sep"/>
        <s v="Jan"/>
        <s v="Aug"/>
        <s v="Feb"/>
        <s v="Nov"/>
        <s v="Dec"/>
        <s v="Oct"/>
        <s v="May"/>
        <s v="Jul"/>
        <s v="Mar"/>
        <s v="Apr"/>
        <s v="Jun"/>
      </sharedItems>
    </cacheField>
    <cacheField name="Quarter" numFmtId="0">
      <sharedItems count="4">
        <s v="Q3"/>
        <s v="Q1"/>
        <s v="Q4"/>
        <s v="Q2"/>
      </sharedItems>
    </cacheField>
    <cacheField name="Year" numFmtId="0">
      <sharedItems containsSemiMixedTypes="0" containsString="0" containsNumber="1" containsInteger="1" minValue="2020" maxValue="2021" count="2">
        <n v="2020"/>
        <n v="2021"/>
      </sharedItems>
    </cacheField>
    <cacheField name="Units Sold" numFmtId="0">
      <sharedItems containsSemiMixedTypes="0" containsString="0" containsNumber="1" containsInteger="1" minValue="240" maxValue="5391"/>
    </cacheField>
    <cacheField name="Manufacturing Price" numFmtId="0">
      <sharedItems containsSemiMixedTypes="0" containsString="0" containsNumber="1" containsInteger="1" minValue="4" maxValue="320"/>
    </cacheField>
    <cacheField name="Sale Price" numFmtId="0">
      <sharedItems containsSemiMixedTypes="0" containsString="0" containsNumber="1" containsInteger="1" minValue="11" maxValue="525"/>
    </cacheField>
    <cacheField name="Gross Sales" numFmtId="0">
      <sharedItems containsSemiMixedTypes="0" containsString="0" containsNumber="1" containsInteger="1" minValue="3388" maxValue="2173500"/>
    </cacheField>
    <cacheField name="Discounts" numFmtId="0">
      <sharedItems containsSemiMixedTypes="0" containsString="0" containsNumber="1" minValue="0" maxValue="269403.75"/>
    </cacheField>
    <cacheField name="Net Sales" numFmtId="0">
      <sharedItems containsSemiMixedTypes="0" containsString="0" containsNumber="1" minValue="3116.96" maxValue="2086560"/>
    </cacheField>
    <cacheField name="Sales ('000)" numFmtId="0">
      <sharedItems containsSemiMixedTypes="0" containsString="0" containsNumber="1" minValue="1.6550799999999999" maxValue="1159.2"/>
    </cacheField>
    <cacheField name="COGS" numFmtId="0">
      <sharedItems containsSemiMixedTypes="0" containsString="0" containsNumber="1" containsInteger="1" minValue="1028" maxValue="1620160"/>
    </cacheField>
    <cacheField name="Profit" numFmtId="0">
      <sharedItems containsSemiMixedTypes="0" containsString="0" containsNumber="1" minValue="-1337796.24" maxValue="2036880"/>
    </cacheField>
  </cacheFields>
  <extLst>
    <ext xmlns:x14="http://schemas.microsoft.com/office/spreadsheetml/2009/9/main" uri="{725AE2AE-9491-48be-B2B4-4EB974FC3084}">
      <x14:pivotCacheDefinition pivotCacheId="17809252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x v="0"/>
    <x v="0"/>
    <s v="CUST_ID_001"/>
    <s v="PROD_ID_001"/>
    <x v="0"/>
    <s v="None"/>
    <d v="2020-09-22T00:00:00"/>
    <x v="0"/>
    <x v="0"/>
    <x v="0"/>
    <n v="414"/>
    <n v="6"/>
    <n v="188"/>
    <n v="77832"/>
    <n v="0"/>
    <n v="77832"/>
    <n v="43.125"/>
    <n v="2484"/>
    <n v="75348"/>
  </r>
  <r>
    <x v="1"/>
    <x v="1"/>
    <x v="1"/>
    <s v="CUST_ID_002"/>
    <s v="PROD_ID_002"/>
    <x v="1"/>
    <s v="None"/>
    <d v="2020-01-11T00:00:00"/>
    <x v="1"/>
    <x v="1"/>
    <x v="0"/>
    <n v="659"/>
    <n v="12"/>
    <n v="23"/>
    <n v="15157"/>
    <n v="0"/>
    <n v="15157"/>
    <n v="8.2349999999999994"/>
    <n v="7908"/>
    <n v="7249"/>
  </r>
  <r>
    <x v="2"/>
    <x v="2"/>
    <x v="1"/>
    <s v="CUST_ID_004"/>
    <s v="PROD_ID_002"/>
    <x v="2"/>
    <s v="None"/>
    <d v="2020-08-01T00:00:00"/>
    <x v="2"/>
    <x v="0"/>
    <x v="0"/>
    <n v="2070"/>
    <n v="12"/>
    <n v="525"/>
    <n v="1086750"/>
    <n v="0"/>
    <n v="1086750"/>
    <n v="603.75"/>
    <n v="24840"/>
    <n v="1061910"/>
  </r>
  <r>
    <x v="0"/>
    <x v="3"/>
    <x v="2"/>
    <s v="CUST_ID_007"/>
    <s v="PROD_ID_003"/>
    <x v="3"/>
    <s v="None"/>
    <d v="2020-09-26T00:00:00"/>
    <x v="0"/>
    <x v="0"/>
    <x v="0"/>
    <n v="414"/>
    <n v="148"/>
    <n v="188"/>
    <n v="77832"/>
    <n v="0"/>
    <n v="77832"/>
    <n v="43.125"/>
    <n v="61272"/>
    <n v="16560"/>
  </r>
  <r>
    <x v="2"/>
    <x v="4"/>
    <x v="3"/>
    <s v="CUST_ID_008"/>
    <s v="PROD_ID_004"/>
    <x v="4"/>
    <s v="None"/>
    <d v="2020-02-11T00:00:00"/>
    <x v="3"/>
    <x v="1"/>
    <x v="0"/>
    <n v="1832"/>
    <n v="308"/>
    <n v="525"/>
    <n v="961800"/>
    <n v="0"/>
    <n v="961800"/>
    <n v="534.45000000000005"/>
    <n v="564256"/>
    <n v="397544"/>
  </r>
  <r>
    <x v="3"/>
    <x v="5"/>
    <x v="4"/>
    <s v="CUST_ID_011"/>
    <s v="PROD_ID_005"/>
    <x v="5"/>
    <s v="Low"/>
    <d v="2020-11-19T00:00:00"/>
    <x v="4"/>
    <x v="2"/>
    <x v="0"/>
    <n v="593"/>
    <n v="4"/>
    <n v="450"/>
    <n v="266850"/>
    <n v="2668.5"/>
    <n v="264181.5"/>
    <n v="146.71799999999999"/>
    <n v="2372"/>
    <n v="261809.5"/>
  </r>
  <r>
    <x v="3"/>
    <x v="2"/>
    <x v="0"/>
    <s v="CUST_ID_012"/>
    <s v="PROD_ID_001"/>
    <x v="6"/>
    <s v="Low"/>
    <d v="2020-12-20T00:00:00"/>
    <x v="5"/>
    <x v="2"/>
    <x v="0"/>
    <n v="2998"/>
    <n v="6"/>
    <n v="450"/>
    <n v="1349100"/>
    <n v="13491"/>
    <n v="1335609"/>
    <n v="741.90599999999995"/>
    <n v="17988"/>
    <n v="1317621"/>
  </r>
  <r>
    <x v="0"/>
    <x v="6"/>
    <x v="0"/>
    <s v="CUST_ID_013"/>
    <s v="PROD_ID_001"/>
    <x v="7"/>
    <s v="Low"/>
    <d v="2020-02-27T00:00:00"/>
    <x v="3"/>
    <x v="1"/>
    <x v="0"/>
    <n v="796"/>
    <n v="6"/>
    <n v="188"/>
    <n v="149648"/>
    <n v="1496.48"/>
    <n v="148151.51999999999"/>
    <n v="82.046250000000001"/>
    <n v="4776"/>
    <n v="143375.51999999999"/>
  </r>
  <r>
    <x v="3"/>
    <x v="2"/>
    <x v="4"/>
    <s v="CUST_ID_020"/>
    <s v="PROD_ID_005"/>
    <x v="8"/>
    <s v="Low"/>
    <d v="2020-08-30T00:00:00"/>
    <x v="2"/>
    <x v="0"/>
    <x v="0"/>
    <n v="257"/>
    <n v="4"/>
    <n v="450"/>
    <n v="115650"/>
    <n v="2313"/>
    <n v="113337"/>
    <n v="62.915999999999997"/>
    <n v="1028"/>
    <n v="112309"/>
  </r>
  <r>
    <x v="2"/>
    <x v="6"/>
    <x v="4"/>
    <s v="CUST_ID_021"/>
    <s v="PROD_ID_005"/>
    <x v="9"/>
    <s v="Low"/>
    <d v="2020-10-15T00:00:00"/>
    <x v="6"/>
    <x v="2"/>
    <x v="0"/>
    <n v="2574"/>
    <n v="4"/>
    <n v="11"/>
    <n v="28314"/>
    <n v="566.28"/>
    <n v="27747.72"/>
    <n v="14.714700000000001"/>
    <n v="10296"/>
    <n v="17451.72"/>
  </r>
  <r>
    <x v="0"/>
    <x v="3"/>
    <x v="1"/>
    <s v="CUST_ID_023"/>
    <s v="PROD_ID_002"/>
    <x v="10"/>
    <s v="Low"/>
    <d v="2020-12-10T00:00:00"/>
    <x v="5"/>
    <x v="2"/>
    <x v="0"/>
    <n v="971"/>
    <n v="12"/>
    <n v="188"/>
    <n v="182548"/>
    <n v="3650.96"/>
    <n v="178897.04"/>
    <n v="99.102500000000006"/>
    <n v="11652"/>
    <n v="167245.04"/>
  </r>
  <r>
    <x v="0"/>
    <x v="4"/>
    <x v="1"/>
    <s v="CUST_ID_024"/>
    <s v="PROD_ID_002"/>
    <x v="11"/>
    <s v="Low"/>
    <d v="2020-05-23T00:00:00"/>
    <x v="7"/>
    <x v="3"/>
    <x v="0"/>
    <n v="2574"/>
    <n v="12"/>
    <n v="188"/>
    <n v="483912"/>
    <n v="9678.24"/>
    <n v="474233.76"/>
    <n v="262.76249999999999"/>
    <n v="30888"/>
    <n v="443345.76"/>
  </r>
  <r>
    <x v="4"/>
    <x v="0"/>
    <x v="1"/>
    <s v="CUST_ID_025"/>
    <s v="PROD_ID_002"/>
    <x v="12"/>
    <s v="Low"/>
    <d v="2020-02-18T00:00:00"/>
    <x v="3"/>
    <x v="1"/>
    <x v="0"/>
    <n v="2142"/>
    <n v="12"/>
    <n v="18"/>
    <n v="38556"/>
    <n v="771.12"/>
    <n v="37784.879999999997"/>
    <n v="20.991599999999998"/>
    <n v="25704"/>
    <n v="12080.879999999997"/>
  </r>
  <r>
    <x v="1"/>
    <x v="1"/>
    <x v="1"/>
    <s v="CUST_ID_026"/>
    <s v="PROD_ID_002"/>
    <x v="13"/>
    <s v="Low"/>
    <d v="2020-01-28T00:00:00"/>
    <x v="1"/>
    <x v="1"/>
    <x v="0"/>
    <n v="2310"/>
    <n v="12"/>
    <n v="23"/>
    <n v="53130"/>
    <n v="1062.5999999999999"/>
    <n v="52067.4"/>
    <n v="28.297499999999999"/>
    <n v="27720"/>
    <n v="24347.4"/>
  </r>
  <r>
    <x v="0"/>
    <x v="7"/>
    <x v="2"/>
    <s v="CUST_ID_030"/>
    <s v="PROD_ID_003"/>
    <x v="14"/>
    <s v="Low"/>
    <d v="2020-01-19T00:00:00"/>
    <x v="1"/>
    <x v="1"/>
    <x v="0"/>
    <n v="2574"/>
    <n v="148"/>
    <n v="188"/>
    <n v="483912"/>
    <n v="9678.24"/>
    <n v="474233.76"/>
    <n v="262.76249999999999"/>
    <n v="380952"/>
    <n v="93281.760000000009"/>
  </r>
  <r>
    <x v="2"/>
    <x v="3"/>
    <x v="2"/>
    <s v="CUST_ID_031"/>
    <s v="PROD_ID_003"/>
    <x v="15"/>
    <s v="Low"/>
    <d v="2020-07-30T00:00:00"/>
    <x v="8"/>
    <x v="0"/>
    <x v="0"/>
    <n v="653"/>
    <n v="148"/>
    <n v="30"/>
    <n v="19590"/>
    <n v="391.8"/>
    <n v="19198.2"/>
    <n v="10.6624"/>
    <n v="96644"/>
    <n v="-77445.8"/>
  </r>
  <r>
    <x v="3"/>
    <x v="4"/>
    <x v="3"/>
    <s v="CUST_ID_032"/>
    <s v="PROD_ID_004"/>
    <x v="16"/>
    <s v="Low"/>
    <d v="2020-02-21T00:00:00"/>
    <x v="3"/>
    <x v="1"/>
    <x v="0"/>
    <n v="257"/>
    <n v="308"/>
    <n v="450"/>
    <n v="115650"/>
    <n v="2313"/>
    <n v="113337"/>
    <n v="62.915999999999997"/>
    <n v="79156"/>
    <n v="34181"/>
  </r>
  <r>
    <x v="2"/>
    <x v="6"/>
    <x v="0"/>
    <s v="CUST_ID_037"/>
    <s v="PROD_ID_001"/>
    <x v="17"/>
    <s v="Low"/>
    <d v="2020-05-16T00:00:00"/>
    <x v="7"/>
    <x v="3"/>
    <x v="0"/>
    <n v="2156"/>
    <n v="6"/>
    <n v="525"/>
    <n v="1131900"/>
    <n v="33957"/>
    <n v="1097943"/>
    <n v="610.08150000000001"/>
    <n v="12936"/>
    <n v="1085007"/>
  </r>
  <r>
    <x v="2"/>
    <x v="4"/>
    <x v="1"/>
    <s v="CUST_ID_040"/>
    <s v="PROD_ID_002"/>
    <x v="18"/>
    <s v="Low"/>
    <d v="2020-11-03T00:00:00"/>
    <x v="4"/>
    <x v="2"/>
    <x v="0"/>
    <n v="2112"/>
    <n v="12"/>
    <n v="11"/>
    <n v="23232"/>
    <n v="696.96"/>
    <n v="22535.040000000001"/>
    <n v="11.9504"/>
    <n v="25344"/>
    <n v="-2808.9599999999991"/>
  </r>
  <r>
    <x v="2"/>
    <x v="5"/>
    <x v="0"/>
    <s v="CUST_ID_043"/>
    <s v="PROD_ID_001"/>
    <x v="19"/>
    <s v="Low"/>
    <d v="2020-07-14T00:00:00"/>
    <x v="8"/>
    <x v="0"/>
    <x v="0"/>
    <n v="3421"/>
    <n v="6"/>
    <n v="11"/>
    <n v="37631"/>
    <n v="1505.24"/>
    <n v="36125.760000000002"/>
    <n v="19.158720000000002"/>
    <n v="20526"/>
    <n v="15599.760000000002"/>
  </r>
  <r>
    <x v="1"/>
    <x v="1"/>
    <x v="1"/>
    <s v="CUST_ID_026"/>
    <s v="PROD_ID_002"/>
    <x v="13"/>
    <s v="Low"/>
    <d v="2020-01-15T00:00:00"/>
    <x v="1"/>
    <x v="1"/>
    <x v="0"/>
    <n v="805"/>
    <n v="12"/>
    <n v="23"/>
    <n v="18515"/>
    <n v="740.6"/>
    <n v="17774.400000000001"/>
    <n v="9.6623999999999999"/>
    <n v="9660"/>
    <n v="8114.4000000000015"/>
  </r>
  <r>
    <x v="2"/>
    <x v="0"/>
    <x v="3"/>
    <s v="CUST_ID_033"/>
    <s v="PROD_ID_004"/>
    <x v="20"/>
    <s v="Low"/>
    <d v="2020-02-16T00:00:00"/>
    <x v="3"/>
    <x v="1"/>
    <x v="0"/>
    <n v="419"/>
    <n v="308"/>
    <n v="525"/>
    <n v="219975"/>
    <n v="8799"/>
    <n v="211176"/>
    <n v="117.264"/>
    <n v="129052"/>
    <n v="82124"/>
  </r>
  <r>
    <x v="1"/>
    <x v="6"/>
    <x v="3"/>
    <s v="CUST_ID_045"/>
    <s v="PROD_ID_004"/>
    <x v="21"/>
    <s v="Low"/>
    <d v="2020-09-15T00:00:00"/>
    <x v="0"/>
    <x v="0"/>
    <x v="0"/>
    <n v="1817"/>
    <n v="308"/>
    <n v="23"/>
    <n v="41791"/>
    <n v="1671.64"/>
    <n v="40119.360000000001"/>
    <n v="21.801599999999997"/>
    <n v="559636"/>
    <n v="-519516.64"/>
  </r>
  <r>
    <x v="2"/>
    <x v="3"/>
    <x v="5"/>
    <s v="CUST_ID_047"/>
    <s v="PROD_ID_006"/>
    <x v="22"/>
    <s v="Low"/>
    <d v="2020-12-31T00:00:00"/>
    <x v="5"/>
    <x v="2"/>
    <x v="0"/>
    <n v="2134"/>
    <n v="320"/>
    <n v="525"/>
    <n v="1120350"/>
    <n v="44814"/>
    <n v="1075536"/>
    <n v="597.40800000000002"/>
    <n v="682880"/>
    <n v="392656"/>
  </r>
  <r>
    <x v="2"/>
    <x v="5"/>
    <x v="5"/>
    <s v="CUST_ID_035"/>
    <s v="PROD_ID_006"/>
    <x v="23"/>
    <s v="Medium"/>
    <d v="2020-03-28T00:00:00"/>
    <x v="9"/>
    <x v="1"/>
    <x v="0"/>
    <n v="1391"/>
    <n v="320"/>
    <n v="11"/>
    <n v="15301"/>
    <n v="765.05"/>
    <n v="14535.95"/>
    <n v="7.7073499999999999"/>
    <n v="445120"/>
    <n v="-430584.05"/>
  </r>
  <r>
    <x v="2"/>
    <x v="0"/>
    <x v="0"/>
    <s v="CUST_ID_049"/>
    <s v="PROD_ID_001"/>
    <x v="24"/>
    <s v="Medium"/>
    <d v="2020-04-08T00:00:00"/>
    <x v="10"/>
    <x v="3"/>
    <x v="0"/>
    <n v="864"/>
    <n v="6"/>
    <n v="525"/>
    <n v="453600"/>
    <n v="22680"/>
    <n v="430920"/>
    <n v="239.4"/>
    <n v="5184"/>
    <n v="425736"/>
  </r>
  <r>
    <x v="3"/>
    <x v="1"/>
    <x v="0"/>
    <s v="CUST_ID_050"/>
    <s v="PROD_ID_001"/>
    <x v="25"/>
    <s v="Medium"/>
    <d v="2020-01-20T00:00:00"/>
    <x v="1"/>
    <x v="1"/>
    <x v="0"/>
    <n v="1320"/>
    <n v="6"/>
    <n v="450"/>
    <n v="594000"/>
    <n v="29700"/>
    <n v="564300"/>
    <n v="313.5"/>
    <n v="7920"/>
    <n v="556380"/>
  </r>
  <r>
    <x v="2"/>
    <x v="2"/>
    <x v="1"/>
    <s v="CUST_ID_004"/>
    <s v="PROD_ID_002"/>
    <x v="2"/>
    <s v="Medium"/>
    <d v="2020-01-09T00:00:00"/>
    <x v="1"/>
    <x v="1"/>
    <x v="0"/>
    <n v="1474"/>
    <n v="12"/>
    <n v="525"/>
    <n v="773850"/>
    <n v="38692.5"/>
    <n v="735157.5"/>
    <n v="408.31"/>
    <n v="17688"/>
    <n v="717469.5"/>
  </r>
  <r>
    <x v="2"/>
    <x v="2"/>
    <x v="1"/>
    <s v="CUST_ID_004"/>
    <s v="PROD_ID_002"/>
    <x v="2"/>
    <s v="Medium"/>
    <d v="2020-12-16T00:00:00"/>
    <x v="5"/>
    <x v="2"/>
    <x v="0"/>
    <n v="1667"/>
    <n v="12"/>
    <n v="30"/>
    <n v="50010"/>
    <n v="2500.5"/>
    <n v="47509.5"/>
    <n v="26.390999999999998"/>
    <n v="20004"/>
    <n v="27505.5"/>
  </r>
  <r>
    <x v="0"/>
    <x v="5"/>
    <x v="1"/>
    <s v="CUST_ID_051"/>
    <s v="PROD_ID_002"/>
    <x v="26"/>
    <s v="Medium"/>
    <d v="2020-07-25T00:00:00"/>
    <x v="8"/>
    <x v="0"/>
    <x v="0"/>
    <n v="845"/>
    <n v="12"/>
    <n v="188"/>
    <n v="158860"/>
    <n v="7943"/>
    <n v="150917"/>
    <n v="83.6"/>
    <n v="10140"/>
    <n v="140777"/>
  </r>
  <r>
    <x v="2"/>
    <x v="2"/>
    <x v="1"/>
    <s v="CUST_ID_004"/>
    <s v="PROD_ID_002"/>
    <x v="2"/>
    <s v="Medium"/>
    <d v="2020-09-30T00:00:00"/>
    <x v="0"/>
    <x v="0"/>
    <x v="0"/>
    <n v="2162"/>
    <n v="12"/>
    <n v="30"/>
    <n v="64860"/>
    <n v="3243"/>
    <n v="61617"/>
    <n v="34.238"/>
    <n v="25944"/>
    <n v="35673"/>
  </r>
  <r>
    <x v="2"/>
    <x v="2"/>
    <x v="1"/>
    <s v="CUST_ID_052"/>
    <s v="PROD_ID_002"/>
    <x v="27"/>
    <s v="Medium"/>
    <d v="2020-07-22T00:00:00"/>
    <x v="8"/>
    <x v="0"/>
    <x v="0"/>
    <n v="2563"/>
    <n v="12"/>
    <n v="11"/>
    <n v="28193"/>
    <n v="1409.65"/>
    <n v="26783.35"/>
    <n v="14.2044"/>
    <n v="30756"/>
    <n v="-3972.6500000000015"/>
  </r>
  <r>
    <x v="0"/>
    <x v="6"/>
    <x v="2"/>
    <s v="CUST_ID_053"/>
    <s v="PROD_ID_003"/>
    <x v="28"/>
    <s v="Medium"/>
    <d v="2020-04-25T00:00:00"/>
    <x v="10"/>
    <x v="3"/>
    <x v="0"/>
    <n v="845"/>
    <n v="148"/>
    <n v="188"/>
    <n v="158860"/>
    <n v="7943"/>
    <n v="150917"/>
    <n v="83.6"/>
    <n v="125060"/>
    <n v="25857"/>
  </r>
  <r>
    <x v="2"/>
    <x v="3"/>
    <x v="3"/>
    <s v="CUST_ID_055"/>
    <s v="PROD_ID_004"/>
    <x v="29"/>
    <s v="Medium"/>
    <d v="2020-09-07T00:00:00"/>
    <x v="0"/>
    <x v="0"/>
    <x v="0"/>
    <n v="1667"/>
    <n v="308"/>
    <n v="30"/>
    <n v="50010"/>
    <n v="2500.5"/>
    <n v="47509.5"/>
    <n v="26.390999999999998"/>
    <n v="513436"/>
    <n v="-465926.5"/>
  </r>
  <r>
    <x v="2"/>
    <x v="0"/>
    <x v="3"/>
    <s v="CUST_ID_033"/>
    <s v="PROD_ID_004"/>
    <x v="20"/>
    <s v="Medium"/>
    <d v="2020-07-03T00:00:00"/>
    <x v="8"/>
    <x v="0"/>
    <x v="0"/>
    <n v="1518"/>
    <n v="308"/>
    <n v="30"/>
    <n v="45540"/>
    <n v="2277"/>
    <n v="43263"/>
    <n v="24.035"/>
    <n v="467544"/>
    <n v="-424281"/>
  </r>
  <r>
    <x v="2"/>
    <x v="4"/>
    <x v="3"/>
    <s v="CUST_ID_056"/>
    <s v="PROD_ID_004"/>
    <x v="30"/>
    <s v="Medium"/>
    <d v="2020-07-31T00:00:00"/>
    <x v="8"/>
    <x v="0"/>
    <x v="0"/>
    <n v="2756"/>
    <n v="308"/>
    <n v="30"/>
    <n v="82680"/>
    <n v="4134"/>
    <n v="78546"/>
    <n v="43.643000000000001"/>
    <n v="848848"/>
    <n v="-770302"/>
  </r>
  <r>
    <x v="2"/>
    <x v="0"/>
    <x v="4"/>
    <s v="CUST_ID_057"/>
    <s v="PROD_ID_005"/>
    <x v="31"/>
    <s v="Medium"/>
    <d v="2020-04-15T00:00:00"/>
    <x v="10"/>
    <x v="3"/>
    <x v="0"/>
    <n v="316"/>
    <n v="4"/>
    <n v="11"/>
    <n v="3476"/>
    <n v="208.56"/>
    <n v="3267.44"/>
    <n v="1.73054"/>
    <n v="1264"/>
    <n v="2003.44"/>
  </r>
  <r>
    <x v="4"/>
    <x v="2"/>
    <x v="1"/>
    <s v="CUST_ID_060"/>
    <s v="PROD_ID_002"/>
    <x v="32"/>
    <s v="Medium"/>
    <d v="2020-04-25T00:00:00"/>
    <x v="10"/>
    <x v="3"/>
    <x v="0"/>
    <n v="2759"/>
    <n v="12"/>
    <n v="18"/>
    <n v="49662"/>
    <n v="2979.72"/>
    <n v="46682.28"/>
    <n v="25.93272"/>
    <n v="33108"/>
    <n v="13574.279999999999"/>
  </r>
  <r>
    <x v="3"/>
    <x v="6"/>
    <x v="2"/>
    <s v="CUST_ID_061"/>
    <s v="PROD_ID_003"/>
    <x v="33"/>
    <s v="Medium"/>
    <d v="2020-05-25T00:00:00"/>
    <x v="7"/>
    <x v="3"/>
    <x v="0"/>
    <n v="1465"/>
    <n v="148"/>
    <n v="450"/>
    <n v="659250"/>
    <n v="39555"/>
    <n v="619695"/>
    <n v="344.322"/>
    <n v="216820"/>
    <n v="402875"/>
  </r>
  <r>
    <x v="2"/>
    <x v="7"/>
    <x v="2"/>
    <s v="CUST_ID_054"/>
    <s v="PROD_ID_003"/>
    <x v="34"/>
    <s v="Medium"/>
    <d v="2020-09-24T00:00:00"/>
    <x v="0"/>
    <x v="0"/>
    <x v="0"/>
    <n v="2491"/>
    <n v="148"/>
    <n v="525"/>
    <n v="1307775"/>
    <n v="78466.5"/>
    <n v="1229308.5"/>
    <n v="683.00400000000002"/>
    <n v="368668"/>
    <n v="860640.5"/>
  </r>
  <r>
    <x v="3"/>
    <x v="7"/>
    <x v="3"/>
    <s v="CUST_ID_062"/>
    <s v="PROD_ID_004"/>
    <x v="35"/>
    <s v="Medium"/>
    <d v="2020-08-20T00:00:00"/>
    <x v="2"/>
    <x v="0"/>
    <x v="0"/>
    <n v="1465"/>
    <n v="308"/>
    <n v="450"/>
    <n v="659250"/>
    <n v="39555"/>
    <n v="619695"/>
    <n v="344.322"/>
    <n v="451220"/>
    <n v="168475"/>
  </r>
  <r>
    <x v="3"/>
    <x v="3"/>
    <x v="3"/>
    <s v="CUST_ID_063"/>
    <s v="PROD_ID_004"/>
    <x v="36"/>
    <s v="Medium"/>
    <d v="2020-03-05T00:00:00"/>
    <x v="9"/>
    <x v="1"/>
    <x v="0"/>
    <n v="2923"/>
    <n v="308"/>
    <n v="450"/>
    <n v="1315350"/>
    <n v="78921"/>
    <n v="1236429"/>
    <n v="686.952"/>
    <n v="900284"/>
    <n v="336145"/>
  </r>
  <r>
    <x v="2"/>
    <x v="0"/>
    <x v="5"/>
    <s v="CUST_ID_065"/>
    <s v="PROD_ID_006"/>
    <x v="37"/>
    <s v="Medium"/>
    <d v="2020-09-08T00:00:00"/>
    <x v="0"/>
    <x v="0"/>
    <x v="0"/>
    <n v="1684"/>
    <n v="320"/>
    <n v="11"/>
    <n v="18524"/>
    <n v="1111.44"/>
    <n v="17412.560000000001"/>
    <n v="9.2317400000000003"/>
    <n v="538880"/>
    <n v="-521467.44"/>
  </r>
  <r>
    <x v="4"/>
    <x v="5"/>
    <x v="3"/>
    <s v="CUST_ID_067"/>
    <s v="PROD_ID_004"/>
    <x v="38"/>
    <s v="Medium"/>
    <d v="2020-01-02T00:00:00"/>
    <x v="1"/>
    <x v="1"/>
    <x v="0"/>
    <n v="2658"/>
    <n v="308"/>
    <n v="18"/>
    <n v="47844"/>
    <n v="3349.0799999999995"/>
    <n v="44494.92"/>
    <n v="24.7194"/>
    <n v="818664"/>
    <n v="-774169.08"/>
  </r>
  <r>
    <x v="0"/>
    <x v="2"/>
    <x v="0"/>
    <s v="CUST_ID_068"/>
    <s v="PROD_ID_001"/>
    <x v="39"/>
    <s v="Medium"/>
    <d v="2020-03-13T00:00:00"/>
    <x v="9"/>
    <x v="1"/>
    <x v="0"/>
    <n v="3000"/>
    <n v="6"/>
    <n v="188"/>
    <n v="564000"/>
    <n v="39480.000000000007"/>
    <n v="524520"/>
    <n v="290.625"/>
    <n v="18000"/>
    <n v="506520"/>
  </r>
  <r>
    <x v="1"/>
    <x v="1"/>
    <x v="1"/>
    <s v="CUST_ID_026"/>
    <s v="PROD_ID_002"/>
    <x v="13"/>
    <s v="Medium"/>
    <d v="2020-09-12T00:00:00"/>
    <x v="0"/>
    <x v="0"/>
    <x v="0"/>
    <n v="3517"/>
    <n v="12"/>
    <n v="23"/>
    <n v="80891"/>
    <n v="5662.3700000000008"/>
    <n v="75228.63"/>
    <n v="40.887449999999994"/>
    <n v="42204"/>
    <n v="33024.630000000005"/>
  </r>
  <r>
    <x v="3"/>
    <x v="6"/>
    <x v="1"/>
    <s v="CUST_ID_069"/>
    <s v="PROD_ID_002"/>
    <x v="31"/>
    <s v="Medium"/>
    <d v="2020-06-16T00:00:00"/>
    <x v="11"/>
    <x v="3"/>
    <x v="0"/>
    <n v="1348"/>
    <n v="12"/>
    <n v="450"/>
    <n v="606600"/>
    <n v="42462.000000000007"/>
    <n v="564138"/>
    <n v="313.31700000000001"/>
    <n v="16176"/>
    <n v="547962"/>
  </r>
  <r>
    <x v="4"/>
    <x v="3"/>
    <x v="1"/>
    <s v="CUST_ID_071"/>
    <s v="PROD_ID_002"/>
    <x v="40"/>
    <s v="Medium"/>
    <d v="2020-04-07T00:00:00"/>
    <x v="10"/>
    <x v="3"/>
    <x v="0"/>
    <n v="3316"/>
    <n v="12"/>
    <n v="18"/>
    <n v="59688"/>
    <n v="4178.1600000000008"/>
    <n v="55509.84"/>
    <n v="30.835080000000001"/>
    <n v="39792"/>
    <n v="15717.839999999997"/>
  </r>
  <r>
    <x v="3"/>
    <x v="1"/>
    <x v="0"/>
    <s v="CUST_ID_074"/>
    <s v="PROD_ID_001"/>
    <x v="41"/>
    <s v="Medium"/>
    <d v="2020-08-13T00:00:00"/>
    <x v="2"/>
    <x v="0"/>
    <x v="0"/>
    <n v="1540"/>
    <n v="6"/>
    <n v="450"/>
    <n v="693000"/>
    <n v="55440"/>
    <n v="637560"/>
    <n v="354.108"/>
    <n v="9240"/>
    <n v="628320"/>
  </r>
  <r>
    <x v="2"/>
    <x v="4"/>
    <x v="1"/>
    <s v="CUST_ID_072"/>
    <s v="PROD_ID_002"/>
    <x v="42"/>
    <s v="Medium"/>
    <d v="2020-10-21T00:00:00"/>
    <x v="6"/>
    <x v="2"/>
    <x v="0"/>
    <n v="2575"/>
    <n v="12"/>
    <n v="525"/>
    <n v="1351875"/>
    <n v="108150"/>
    <n v="1243725"/>
    <n v="691.01199999999994"/>
    <n v="30900"/>
    <n v="1212825"/>
  </r>
  <r>
    <x v="2"/>
    <x v="4"/>
    <x v="1"/>
    <s v="CUST_ID_040"/>
    <s v="PROD_ID_002"/>
    <x v="18"/>
    <s v="Medium"/>
    <d v="2020-02-16T00:00:00"/>
    <x v="3"/>
    <x v="1"/>
    <x v="0"/>
    <n v="2335"/>
    <n v="12"/>
    <n v="11"/>
    <n v="25685"/>
    <n v="2054.8000000000002"/>
    <n v="23630.2"/>
    <n v="12.53224"/>
    <n v="28020"/>
    <n v="-4389.7999999999993"/>
  </r>
  <r>
    <x v="3"/>
    <x v="7"/>
    <x v="0"/>
    <s v="CUST_ID_078"/>
    <s v="PROD_ID_001"/>
    <x v="43"/>
    <s v="Medium"/>
    <d v="2020-06-14T00:00:00"/>
    <x v="11"/>
    <x v="3"/>
    <x v="0"/>
    <n v="386"/>
    <n v="6"/>
    <n v="450"/>
    <n v="173700"/>
    <n v="15633"/>
    <n v="158067"/>
    <n v="87.906000000000006"/>
    <n v="2316"/>
    <n v="155751"/>
  </r>
  <r>
    <x v="4"/>
    <x v="0"/>
    <x v="3"/>
    <s v="CUST_ID_081"/>
    <s v="PROD_ID_004"/>
    <x v="44"/>
    <s v="Medium"/>
    <d v="2020-07-11T00:00:00"/>
    <x v="8"/>
    <x v="0"/>
    <x v="0"/>
    <n v="2681"/>
    <n v="308"/>
    <n v="18"/>
    <n v="48258"/>
    <n v="4343.22"/>
    <n v="43914.78"/>
    <n v="24.39528"/>
    <n v="825748"/>
    <n v="-781833.22"/>
  </r>
  <r>
    <x v="4"/>
    <x v="5"/>
    <x v="5"/>
    <s v="CUST_ID_083"/>
    <s v="PROD_ID_006"/>
    <x v="45"/>
    <s v="Medium"/>
    <d v="2020-11-12T00:00:00"/>
    <x v="4"/>
    <x v="2"/>
    <x v="0"/>
    <n v="367"/>
    <n v="320"/>
    <n v="18"/>
    <n v="6606"/>
    <n v="594.54000000000008"/>
    <n v="6011.46"/>
    <n v="3.34152"/>
    <n v="117440"/>
    <n v="-111428.54"/>
  </r>
  <r>
    <x v="1"/>
    <x v="1"/>
    <x v="1"/>
    <s v="CUST_ID_002"/>
    <s v="PROD_ID_002"/>
    <x v="1"/>
    <s v="High"/>
    <d v="2020-09-25T00:00:00"/>
    <x v="0"/>
    <x v="0"/>
    <x v="0"/>
    <n v="2600"/>
    <n v="12"/>
    <n v="23"/>
    <n v="59800"/>
    <n v="5980"/>
    <n v="53820"/>
    <n v="29.2545"/>
    <n v="31200"/>
    <n v="22620"/>
  </r>
  <r>
    <x v="0"/>
    <x v="3"/>
    <x v="2"/>
    <s v="CUST_ID_007"/>
    <s v="PROD_ID_003"/>
    <x v="3"/>
    <s v="High"/>
    <d v="2020-02-08T00:00:00"/>
    <x v="3"/>
    <x v="1"/>
    <x v="0"/>
    <n v="2299"/>
    <n v="148"/>
    <n v="188"/>
    <n v="432212"/>
    <n v="43221.200000000004"/>
    <n v="388990.8"/>
    <n v="215.55"/>
    <n v="340252"/>
    <n v="48738.799999999988"/>
  </r>
  <r>
    <x v="4"/>
    <x v="0"/>
    <x v="3"/>
    <s v="CUST_ID_089"/>
    <s v="PROD_ID_004"/>
    <x v="46"/>
    <s v="High"/>
    <d v="2020-06-22T00:00:00"/>
    <x v="11"/>
    <x v="3"/>
    <x v="0"/>
    <n v="1206"/>
    <n v="308"/>
    <n v="18"/>
    <n v="21708"/>
    <n v="2387.8799999999997"/>
    <n v="19320.12"/>
    <n v="10.7334"/>
    <n v="371448"/>
    <n v="-352127.88"/>
  </r>
  <r>
    <x v="1"/>
    <x v="1"/>
    <x v="4"/>
    <s v="CUST_ID_090"/>
    <s v="PROD_ID_005"/>
    <x v="47"/>
    <s v="High"/>
    <d v="2020-01-23T00:00:00"/>
    <x v="1"/>
    <x v="1"/>
    <x v="0"/>
    <n v="1872"/>
    <n v="4"/>
    <n v="23"/>
    <n v="43056"/>
    <n v="4736.16"/>
    <n v="38319.839999999997"/>
    <n v="20.826000000000001"/>
    <n v="7488"/>
    <n v="30831.839999999997"/>
  </r>
  <r>
    <x v="2"/>
    <x v="7"/>
    <x v="2"/>
    <s v="CUST_ID_054"/>
    <s v="PROD_ID_003"/>
    <x v="34"/>
    <s v="High"/>
    <d v="2020-10-09T00:00:00"/>
    <x v="6"/>
    <x v="2"/>
    <x v="0"/>
    <n v="3366"/>
    <n v="148"/>
    <n v="30"/>
    <n v="100980"/>
    <n v="11107.8"/>
    <n v="89872.2"/>
    <n v="49.929000000000002"/>
    <n v="498168"/>
    <n v="-408295.8"/>
  </r>
  <r>
    <x v="1"/>
    <x v="5"/>
    <x v="2"/>
    <s v="CUST_ID_091"/>
    <s v="PROD_ID_003"/>
    <x v="48"/>
    <s v="High"/>
    <d v="2020-10-31T00:00:00"/>
    <x v="6"/>
    <x v="2"/>
    <x v="0"/>
    <n v="786"/>
    <n v="148"/>
    <n v="23"/>
    <n v="18078"/>
    <n v="1988.58"/>
    <n v="16089.42"/>
    <n v="8.7442499999999992"/>
    <n v="116328"/>
    <n v="-100238.58"/>
  </r>
  <r>
    <x v="0"/>
    <x v="2"/>
    <x v="5"/>
    <s v="CUST_ID_092"/>
    <s v="PROD_ID_006"/>
    <x v="49"/>
    <s v="High"/>
    <d v="2020-10-24T00:00:00"/>
    <x v="6"/>
    <x v="2"/>
    <x v="0"/>
    <n v="1136"/>
    <n v="320"/>
    <n v="188"/>
    <n v="213568"/>
    <n v="23492.48"/>
    <n v="190075.51999999999"/>
    <n v="105.35375000000001"/>
    <n v="363520"/>
    <n v="-173444.48000000001"/>
  </r>
  <r>
    <x v="0"/>
    <x v="7"/>
    <x v="4"/>
    <s v="CUST_ID_094"/>
    <s v="PROD_ID_005"/>
    <x v="50"/>
    <s v="High"/>
    <d v="2020-11-11T00:00:00"/>
    <x v="4"/>
    <x v="2"/>
    <x v="0"/>
    <n v="2899"/>
    <n v="4"/>
    <n v="188"/>
    <n v="545012"/>
    <n v="65401.439999999995"/>
    <n v="479610.56"/>
    <n v="265.76"/>
    <n v="11596"/>
    <n v="468014.56"/>
  </r>
  <r>
    <x v="2"/>
    <x v="3"/>
    <x v="3"/>
    <s v="CUST_ID_055"/>
    <s v="PROD_ID_004"/>
    <x v="29"/>
    <s v="High"/>
    <d v="2020-02-28T00:00:00"/>
    <x v="3"/>
    <x v="1"/>
    <x v="0"/>
    <n v="748"/>
    <n v="308"/>
    <n v="525"/>
    <n v="392700"/>
    <n v="47124"/>
    <n v="345576"/>
    <n v="191.88399999999999"/>
    <n v="230384"/>
    <n v="115192"/>
  </r>
  <r>
    <x v="1"/>
    <x v="7"/>
    <x v="5"/>
    <s v="CUST_ID_046"/>
    <s v="PROD_ID_006"/>
    <x v="51"/>
    <s v="High"/>
    <d v="2020-12-16T00:00:00"/>
    <x v="5"/>
    <x v="2"/>
    <x v="0"/>
    <n v="3058"/>
    <n v="320"/>
    <n v="23"/>
    <n v="70334"/>
    <n v="8440.08"/>
    <n v="61893.919999999998"/>
    <n v="33.633600000000001"/>
    <n v="978560"/>
    <n v="-916666.08"/>
  </r>
  <r>
    <x v="4"/>
    <x v="3"/>
    <x v="5"/>
    <s v="CUST_ID_095"/>
    <s v="PROD_ID_006"/>
    <x v="52"/>
    <s v="High"/>
    <d v="2020-01-07T00:00:00"/>
    <x v="1"/>
    <x v="1"/>
    <x v="0"/>
    <n v="3313"/>
    <n v="320"/>
    <n v="18"/>
    <n v="59634"/>
    <n v="7156.0800000000008"/>
    <n v="52477.919999999998"/>
    <n v="29.15616"/>
    <n v="1060160"/>
    <n v="-1007682.08"/>
  </r>
  <r>
    <x v="2"/>
    <x v="4"/>
    <x v="4"/>
    <s v="CUST_ID_048"/>
    <s v="PROD_ID_005"/>
    <x v="53"/>
    <s v="High"/>
    <d v="2020-03-22T00:00:00"/>
    <x v="9"/>
    <x v="1"/>
    <x v="0"/>
    <n v="530"/>
    <n v="4"/>
    <n v="30"/>
    <n v="15900"/>
    <n v="2067"/>
    <n v="13833"/>
    <n v="7.6908000000000003"/>
    <n v="2120"/>
    <n v="11713"/>
  </r>
  <r>
    <x v="4"/>
    <x v="1"/>
    <x v="5"/>
    <s v="CUST_ID_098"/>
    <s v="PROD_ID_006"/>
    <x v="41"/>
    <s v="High"/>
    <d v="2020-01-21T00:00:00"/>
    <x v="1"/>
    <x v="1"/>
    <x v="0"/>
    <n v="2124"/>
    <n v="320"/>
    <n v="18"/>
    <n v="38232"/>
    <n v="4970.16"/>
    <n v="33261.839999999997"/>
    <n v="18.4788"/>
    <n v="679680"/>
    <n v="-646418.16"/>
  </r>
  <r>
    <x v="2"/>
    <x v="0"/>
    <x v="4"/>
    <s v="CUST_ID_057"/>
    <s v="PROD_ID_005"/>
    <x v="31"/>
    <s v="High"/>
    <d v="2020-06-04T00:00:00"/>
    <x v="11"/>
    <x v="3"/>
    <x v="0"/>
    <n v="3595"/>
    <n v="4"/>
    <n v="11"/>
    <n v="39545"/>
    <n v="5536.2999999999993"/>
    <n v="34008.699999999997"/>
    <n v="18.035919999999997"/>
    <n v="14380"/>
    <n v="19628.699999999997"/>
  </r>
  <r>
    <x v="0"/>
    <x v="6"/>
    <x v="4"/>
    <s v="CUST_ID_085"/>
    <s v="PROD_ID_005"/>
    <x v="54"/>
    <s v="High"/>
    <d v="2020-03-28T00:00:00"/>
    <x v="9"/>
    <x v="1"/>
    <x v="0"/>
    <n v="1228"/>
    <n v="4"/>
    <n v="188"/>
    <n v="230864"/>
    <n v="32320.960000000003"/>
    <n v="198543.04"/>
    <n v="109.9725"/>
    <n v="4912"/>
    <n v="193631.04"/>
  </r>
  <r>
    <x v="2"/>
    <x v="0"/>
    <x v="0"/>
    <s v="CUST_ID_049"/>
    <s v="PROD_ID_001"/>
    <x v="24"/>
    <s v="High"/>
    <d v="2020-11-16T00:00:00"/>
    <x v="4"/>
    <x v="2"/>
    <x v="0"/>
    <n v="2072"/>
    <n v="6"/>
    <n v="11"/>
    <n v="22792"/>
    <n v="3190.88"/>
    <n v="19601.12"/>
    <n v="10.396540000000002"/>
    <n v="12432"/>
    <n v="7169.119999999999"/>
  </r>
  <r>
    <x v="1"/>
    <x v="7"/>
    <x v="1"/>
    <s v="CUST_ID_006"/>
    <s v="PROD_ID_002"/>
    <x v="55"/>
    <s v="High"/>
    <d v="2020-04-01T00:00:00"/>
    <x v="10"/>
    <x v="3"/>
    <x v="0"/>
    <n v="2964"/>
    <n v="12"/>
    <n v="23"/>
    <n v="68172"/>
    <n v="9544.0800000000017"/>
    <n v="58627.92"/>
    <n v="31.863"/>
    <n v="35568"/>
    <n v="23059.919999999998"/>
  </r>
  <r>
    <x v="4"/>
    <x v="2"/>
    <x v="1"/>
    <s v="CUST_ID_060"/>
    <s v="PROD_ID_002"/>
    <x v="32"/>
    <s v="High"/>
    <d v="2020-05-01T00:00:00"/>
    <x v="7"/>
    <x v="3"/>
    <x v="0"/>
    <n v="2666"/>
    <n v="12"/>
    <n v="18"/>
    <n v="47988"/>
    <n v="6718.3200000000006"/>
    <n v="41269.68"/>
    <n v="22.931039999999999"/>
    <n v="31992"/>
    <n v="9277.68"/>
  </r>
  <r>
    <x v="1"/>
    <x v="3"/>
    <x v="5"/>
    <s v="CUST_ID_103"/>
    <s v="PROD_ID_006"/>
    <x v="56"/>
    <s v="High"/>
    <d v="2020-10-07T00:00:00"/>
    <x v="6"/>
    <x v="2"/>
    <x v="0"/>
    <n v="2092"/>
    <n v="320"/>
    <n v="23"/>
    <n v="48116"/>
    <n v="6736.2400000000007"/>
    <n v="41379.760000000002"/>
    <n v="22.4847"/>
    <n v="669440"/>
    <n v="-628060.24"/>
  </r>
  <r>
    <x v="1"/>
    <x v="4"/>
    <x v="5"/>
    <s v="CUST_ID_104"/>
    <s v="PROD_ID_006"/>
    <x v="57"/>
    <s v="High"/>
    <d v="2020-11-21T00:00:00"/>
    <x v="4"/>
    <x v="2"/>
    <x v="0"/>
    <n v="2244"/>
    <n v="320"/>
    <n v="23"/>
    <n v="51612"/>
    <n v="7225.68"/>
    <n v="44386.32"/>
    <n v="24.123000000000001"/>
    <n v="718080"/>
    <n v="-673693.68"/>
  </r>
  <r>
    <x v="2"/>
    <x v="5"/>
    <x v="1"/>
    <s v="CUST_ID_027"/>
    <s v="PROD_ID_002"/>
    <x v="58"/>
    <s v="High"/>
    <d v="2020-03-21T00:00:00"/>
    <x v="9"/>
    <x v="1"/>
    <x v="0"/>
    <n v="320"/>
    <n v="12"/>
    <n v="30"/>
    <n v="9600"/>
    <n v="1440"/>
    <n v="8160"/>
    <n v="4.5389999999999997"/>
    <n v="3840"/>
    <n v="4320"/>
  </r>
  <r>
    <x v="2"/>
    <x v="4"/>
    <x v="1"/>
    <s v="CUST_ID_040"/>
    <s v="PROD_ID_002"/>
    <x v="18"/>
    <s v="High"/>
    <d v="2020-02-01T00:00:00"/>
    <x v="3"/>
    <x v="1"/>
    <x v="0"/>
    <n v="2581"/>
    <n v="12"/>
    <n v="525"/>
    <n v="1355025"/>
    <n v="203253.75"/>
    <n v="1151771.25"/>
    <n v="639.92250000000001"/>
    <n v="30972"/>
    <n v="1120799.25"/>
  </r>
  <r>
    <x v="0"/>
    <x v="3"/>
    <x v="2"/>
    <s v="CUST_ID_015"/>
    <s v="PROD_ID_003"/>
    <x v="59"/>
    <s v="High"/>
    <d v="2020-03-02T00:00:00"/>
    <x v="9"/>
    <x v="1"/>
    <x v="0"/>
    <n v="2926"/>
    <n v="148"/>
    <n v="188"/>
    <n v="550088"/>
    <n v="82513.2"/>
    <n v="467574.8"/>
    <n v="259.03750000000002"/>
    <n v="433048"/>
    <n v="34526.799999999988"/>
  </r>
  <r>
    <x v="2"/>
    <x v="0"/>
    <x v="3"/>
    <s v="CUST_ID_033"/>
    <s v="PROD_ID_004"/>
    <x v="20"/>
    <s v="High"/>
    <d v="2020-10-27T00:00:00"/>
    <x v="6"/>
    <x v="2"/>
    <x v="0"/>
    <n v="320"/>
    <n v="308"/>
    <n v="30"/>
    <n v="9600"/>
    <n v="1440"/>
    <n v="8160"/>
    <n v="4.5389999999999997"/>
    <n v="98560"/>
    <n v="-90400"/>
  </r>
  <r>
    <x v="0"/>
    <x v="0"/>
    <x v="3"/>
    <s v="CUST_ID_105"/>
    <s v="PROD_ID_004"/>
    <x v="60"/>
    <s v="High"/>
    <d v="2020-02-22T00:00:00"/>
    <x v="3"/>
    <x v="1"/>
    <x v="0"/>
    <n v="3545"/>
    <n v="308"/>
    <n v="188"/>
    <n v="666460"/>
    <n v="99969"/>
    <n v="566491"/>
    <n v="313.86250000000001"/>
    <n v="1091860"/>
    <n v="-525369"/>
  </r>
  <r>
    <x v="2"/>
    <x v="1"/>
    <x v="4"/>
    <s v="CUST_ID_042"/>
    <s v="PROD_ID_005"/>
    <x v="32"/>
    <s v="None"/>
    <d v="2020-03-02T00:00:00"/>
    <x v="9"/>
    <x v="1"/>
    <x v="0"/>
    <n v="1942"/>
    <n v="4"/>
    <n v="30"/>
    <n v="58260"/>
    <n v="0"/>
    <n v="58260"/>
    <n v="32.369999999999997"/>
    <n v="7768"/>
    <n v="50492"/>
  </r>
  <r>
    <x v="2"/>
    <x v="4"/>
    <x v="4"/>
    <s v="CUST_ID_048"/>
    <s v="PROD_ID_005"/>
    <x v="53"/>
    <s v="None"/>
    <d v="2020-03-08T00:00:00"/>
    <x v="9"/>
    <x v="1"/>
    <x v="0"/>
    <n v="1585"/>
    <n v="4"/>
    <n v="30"/>
    <n v="47550"/>
    <n v="0"/>
    <n v="47550"/>
    <n v="26.42"/>
    <n v="6340"/>
    <n v="41210"/>
  </r>
  <r>
    <x v="1"/>
    <x v="5"/>
    <x v="4"/>
    <s v="CUST_ID_107"/>
    <s v="PROD_ID_005"/>
    <x v="61"/>
    <s v="None"/>
    <d v="2020-05-18T00:00:00"/>
    <x v="7"/>
    <x v="3"/>
    <x v="0"/>
    <n v="1066"/>
    <n v="4"/>
    <n v="23"/>
    <n v="24518"/>
    <n v="0"/>
    <n v="24518"/>
    <n v="13.32"/>
    <n v="4264"/>
    <n v="20254"/>
  </r>
  <r>
    <x v="4"/>
    <x v="7"/>
    <x v="0"/>
    <s v="CUST_ID_110"/>
    <s v="PROD_ID_001"/>
    <x v="25"/>
    <s v="None"/>
    <d v="2020-10-24T00:00:00"/>
    <x v="6"/>
    <x v="2"/>
    <x v="0"/>
    <n v="3022"/>
    <n v="6"/>
    <n v="18"/>
    <n v="54396"/>
    <n v="0"/>
    <n v="54396"/>
    <n v="30.216000000000001"/>
    <n v="18132"/>
    <n v="36264"/>
  </r>
  <r>
    <x v="4"/>
    <x v="3"/>
    <x v="0"/>
    <s v="CUST_ID_111"/>
    <s v="PROD_ID_001"/>
    <x v="26"/>
    <s v="None"/>
    <d v="2020-03-14T00:00:00"/>
    <x v="9"/>
    <x v="1"/>
    <x v="0"/>
    <n v="1854"/>
    <n v="6"/>
    <n v="18"/>
    <n v="33372"/>
    <n v="0"/>
    <n v="33372"/>
    <n v="18.54"/>
    <n v="11124"/>
    <n v="22248"/>
  </r>
  <r>
    <x v="1"/>
    <x v="4"/>
    <x v="0"/>
    <s v="CUST_ID_112"/>
    <s v="PROD_ID_001"/>
    <x v="62"/>
    <s v="None"/>
    <d v="2020-07-29T00:00:00"/>
    <x v="8"/>
    <x v="0"/>
    <x v="0"/>
    <n v="2964"/>
    <n v="6"/>
    <n v="23"/>
    <n v="68172"/>
    <n v="0"/>
    <n v="68172"/>
    <n v="37.049999999999997"/>
    <n v="17784"/>
    <n v="50388"/>
  </r>
  <r>
    <x v="1"/>
    <x v="0"/>
    <x v="0"/>
    <s v="CUST_ID_113"/>
    <s v="PROD_ID_001"/>
    <x v="46"/>
    <s v="None"/>
    <d v="2020-03-09T00:00:00"/>
    <x v="9"/>
    <x v="1"/>
    <x v="0"/>
    <n v="738"/>
    <n v="6"/>
    <n v="23"/>
    <n v="16974"/>
    <n v="0"/>
    <n v="16974"/>
    <n v="9.2249999999999996"/>
    <n v="4428"/>
    <n v="12546"/>
  </r>
  <r>
    <x v="2"/>
    <x v="2"/>
    <x v="1"/>
    <s v="CUST_ID_004"/>
    <s v="PROD_ID_002"/>
    <x v="2"/>
    <s v="None"/>
    <d v="2020-04-30T00:00:00"/>
    <x v="10"/>
    <x v="3"/>
    <x v="0"/>
    <n v="350"/>
    <n v="12"/>
    <n v="30"/>
    <n v="10500"/>
    <n v="0"/>
    <n v="10500"/>
    <n v="5.84"/>
    <n v="4200"/>
    <n v="6300"/>
  </r>
  <r>
    <x v="4"/>
    <x v="7"/>
    <x v="1"/>
    <s v="CUST_ID_014"/>
    <s v="PROD_ID_002"/>
    <x v="63"/>
    <s v="None"/>
    <d v="2020-05-24T00:00:00"/>
    <x v="7"/>
    <x v="3"/>
    <x v="0"/>
    <n v="440"/>
    <n v="12"/>
    <n v="18"/>
    <n v="7920"/>
    <n v="0"/>
    <n v="7920"/>
    <n v="4.4039999999999999"/>
    <n v="5280"/>
    <n v="2640"/>
  </r>
  <r>
    <x v="2"/>
    <x v="4"/>
    <x v="1"/>
    <s v="CUST_ID_040"/>
    <s v="PROD_ID_002"/>
    <x v="18"/>
    <s v="None"/>
    <d v="2020-08-29T00:00:00"/>
    <x v="2"/>
    <x v="0"/>
    <x v="0"/>
    <n v="1060"/>
    <n v="12"/>
    <n v="11"/>
    <n v="11660"/>
    <n v="0"/>
    <n v="11660"/>
    <n v="6.181"/>
    <n v="12720"/>
    <n v="-1060"/>
  </r>
  <r>
    <x v="1"/>
    <x v="2"/>
    <x v="1"/>
    <s v="CUST_ID_044"/>
    <s v="PROD_ID_002"/>
    <x v="64"/>
    <s v="None"/>
    <d v="2020-02-27T00:00:00"/>
    <x v="3"/>
    <x v="1"/>
    <x v="0"/>
    <n v="2966"/>
    <n v="12"/>
    <n v="23"/>
    <n v="68218"/>
    <n v="0"/>
    <n v="68218"/>
    <n v="37.08"/>
    <n v="35592"/>
    <n v="32626"/>
  </r>
  <r>
    <x v="4"/>
    <x v="1"/>
    <x v="2"/>
    <s v="CUST_ID_114"/>
    <s v="PROD_ID_003"/>
    <x v="47"/>
    <s v="None"/>
    <d v="2020-08-19T00:00:00"/>
    <x v="2"/>
    <x v="0"/>
    <x v="0"/>
    <n v="2593"/>
    <n v="148"/>
    <n v="18"/>
    <n v="46674"/>
    <n v="0"/>
    <n v="46674"/>
    <n v="25.931999999999999"/>
    <n v="383764"/>
    <n v="-337090"/>
  </r>
  <r>
    <x v="1"/>
    <x v="3"/>
    <x v="3"/>
    <s v="CUST_ID_087"/>
    <s v="PROD_ID_004"/>
    <x v="26"/>
    <s v="None"/>
    <d v="2020-07-24T00:00:00"/>
    <x v="8"/>
    <x v="0"/>
    <x v="0"/>
    <n v="2614"/>
    <n v="308"/>
    <n v="23"/>
    <n v="60122"/>
    <n v="0"/>
    <n v="60122"/>
    <n v="32.67"/>
    <n v="805112"/>
    <n v="-744990"/>
  </r>
  <r>
    <x v="1"/>
    <x v="3"/>
    <x v="3"/>
    <s v="CUST_ID_039"/>
    <s v="PROD_ID_004"/>
    <x v="60"/>
    <s v="None"/>
    <d v="2020-02-03T00:00:00"/>
    <x v="3"/>
    <x v="1"/>
    <x v="0"/>
    <n v="1066"/>
    <n v="308"/>
    <n v="23"/>
    <n v="24518"/>
    <n v="0"/>
    <n v="24518"/>
    <n v="13.32"/>
    <n v="328328"/>
    <n v="-303810"/>
  </r>
  <r>
    <x v="3"/>
    <x v="7"/>
    <x v="3"/>
    <s v="CUST_ID_062"/>
    <s v="PROD_ID_004"/>
    <x v="35"/>
    <s v="None"/>
    <d v="2020-05-23T00:00:00"/>
    <x v="7"/>
    <x v="3"/>
    <x v="0"/>
    <n v="2581"/>
    <n v="308"/>
    <n v="450"/>
    <n v="1161450"/>
    <n v="0"/>
    <n v="1161450"/>
    <n v="645.29999999999995"/>
    <n v="794948"/>
    <n v="366502"/>
  </r>
  <r>
    <x v="2"/>
    <x v="0"/>
    <x v="5"/>
    <s v="CUST_ID_065"/>
    <s v="PROD_ID_006"/>
    <x v="37"/>
    <s v="None"/>
    <d v="2020-08-23T00:00:00"/>
    <x v="2"/>
    <x v="0"/>
    <x v="0"/>
    <n v="3300"/>
    <n v="320"/>
    <n v="525"/>
    <n v="1732500"/>
    <n v="0"/>
    <n v="1732500"/>
    <n v="962.5"/>
    <n v="1056000"/>
    <n v="676500"/>
  </r>
  <r>
    <x v="4"/>
    <x v="1"/>
    <x v="5"/>
    <s v="CUST_ID_018"/>
    <s v="PROD_ID_006"/>
    <x v="65"/>
    <s v="None"/>
    <d v="2020-10-13T00:00:00"/>
    <x v="6"/>
    <x v="2"/>
    <x v="0"/>
    <n v="2344"/>
    <n v="320"/>
    <n v="18"/>
    <n v="42192"/>
    <n v="0"/>
    <n v="42192"/>
    <n v="23.436"/>
    <n v="750080"/>
    <n v="-707888"/>
  </r>
  <r>
    <x v="4"/>
    <x v="1"/>
    <x v="5"/>
    <s v="CUST_ID_018"/>
    <s v="PROD_ID_006"/>
    <x v="65"/>
    <s v="None"/>
    <d v="2020-11-15T00:00:00"/>
    <x v="4"/>
    <x v="2"/>
    <x v="0"/>
    <n v="2569"/>
    <n v="320"/>
    <n v="18"/>
    <n v="46242"/>
    <n v="0"/>
    <n v="46242"/>
    <n v="25.692"/>
    <n v="822080"/>
    <n v="-775838"/>
  </r>
  <r>
    <x v="1"/>
    <x v="7"/>
    <x v="5"/>
    <s v="CUST_ID_046"/>
    <s v="PROD_ID_006"/>
    <x v="51"/>
    <s v="None"/>
    <d v="2020-12-26T00:00:00"/>
    <x v="5"/>
    <x v="2"/>
    <x v="0"/>
    <n v="738"/>
    <n v="320"/>
    <n v="23"/>
    <n v="16974"/>
    <n v="0"/>
    <n v="16974"/>
    <n v="9.2249999999999996"/>
    <n v="236160"/>
    <n v="-219186"/>
  </r>
  <r>
    <x v="2"/>
    <x v="2"/>
    <x v="1"/>
    <s v="CUST_ID_052"/>
    <s v="PROD_ID_002"/>
    <x v="27"/>
    <s v="Low"/>
    <d v="2020-09-23T00:00:00"/>
    <x v="0"/>
    <x v="0"/>
    <x v="0"/>
    <n v="4734"/>
    <n v="12"/>
    <n v="11"/>
    <n v="52074"/>
    <n v="520.7399999999999"/>
    <n v="51553.26"/>
    <n v="27.338850000000001"/>
    <n v="56808"/>
    <n v="-5254.739999999998"/>
  </r>
  <r>
    <x v="1"/>
    <x v="1"/>
    <x v="1"/>
    <s v="CUST_ID_002"/>
    <s v="PROD_ID_002"/>
    <x v="1"/>
    <s v="Low"/>
    <d v="2020-12-16T00:00:00"/>
    <x v="5"/>
    <x v="2"/>
    <x v="0"/>
    <n v="2755"/>
    <n v="12"/>
    <n v="23"/>
    <n v="63365"/>
    <n v="633.64999999999986"/>
    <n v="62731.35"/>
    <n v="34.095599999999997"/>
    <n v="33060"/>
    <n v="29671.35"/>
  </r>
  <r>
    <x v="2"/>
    <x v="7"/>
    <x v="2"/>
    <s v="CUST_ID_054"/>
    <s v="PROD_ID_003"/>
    <x v="34"/>
    <s v="Low"/>
    <d v="2020-10-31T00:00:00"/>
    <x v="6"/>
    <x v="2"/>
    <x v="0"/>
    <n v="767"/>
    <n v="148"/>
    <n v="11"/>
    <n v="8437"/>
    <n v="84.36999999999999"/>
    <n v="8352.6299999999992"/>
    <n v="4.4282700000000004"/>
    <n v="113516"/>
    <n v="-105163.37"/>
  </r>
  <r>
    <x v="2"/>
    <x v="1"/>
    <x v="4"/>
    <s v="CUST_ID_066"/>
    <s v="PROD_ID_005"/>
    <x v="66"/>
    <s v="Low"/>
    <d v="2020-06-27T00:00:00"/>
    <x v="11"/>
    <x v="3"/>
    <x v="0"/>
    <n v="1452"/>
    <n v="4"/>
    <n v="525"/>
    <n v="762300"/>
    <n v="7623"/>
    <n v="754677"/>
    <n v="419.26499999999999"/>
    <n v="5808"/>
    <n v="748869"/>
  </r>
  <r>
    <x v="2"/>
    <x v="0"/>
    <x v="4"/>
    <s v="CUST_ID_057"/>
    <s v="PROD_ID_005"/>
    <x v="31"/>
    <s v="Low"/>
    <d v="2020-08-20T00:00:00"/>
    <x v="2"/>
    <x v="0"/>
    <x v="0"/>
    <n v="3035"/>
    <n v="4"/>
    <n v="11"/>
    <n v="33385"/>
    <n v="333.85"/>
    <n v="33051.15"/>
    <n v="17.525970000000001"/>
    <n v="12140"/>
    <n v="20911.150000000001"/>
  </r>
  <r>
    <x v="4"/>
    <x v="2"/>
    <x v="4"/>
    <s v="CUST_ID_036"/>
    <s v="PROD_ID_005"/>
    <x v="67"/>
    <s v="Low"/>
    <d v="2020-08-10T00:00:00"/>
    <x v="2"/>
    <x v="0"/>
    <x v="0"/>
    <n v="1734"/>
    <n v="4"/>
    <n v="18"/>
    <n v="31212"/>
    <n v="312.12"/>
    <n v="30899.88"/>
    <n v="17.166599999999999"/>
    <n v="6936"/>
    <n v="23963.88"/>
  </r>
  <r>
    <x v="2"/>
    <x v="1"/>
    <x v="4"/>
    <s v="CUST_ID_066"/>
    <s v="PROD_ID_005"/>
    <x v="66"/>
    <s v="Low"/>
    <d v="2020-08-03T00:00:00"/>
    <x v="2"/>
    <x v="0"/>
    <x v="0"/>
    <n v="1676"/>
    <n v="4"/>
    <n v="525"/>
    <n v="879900"/>
    <n v="8799"/>
    <n v="871101"/>
    <n v="484.06049999999999"/>
    <n v="6704"/>
    <n v="864397"/>
  </r>
  <r>
    <x v="2"/>
    <x v="6"/>
    <x v="4"/>
    <s v="CUST_ID_021"/>
    <s v="PROD_ID_005"/>
    <x v="9"/>
    <s v="Low"/>
    <d v="2020-04-06T00:00:00"/>
    <x v="10"/>
    <x v="3"/>
    <x v="0"/>
    <n v="2586"/>
    <n v="4"/>
    <n v="525"/>
    <n v="1357650"/>
    <n v="13576.5"/>
    <n v="1344073.5"/>
    <n v="746.70749999999998"/>
    <n v="10344"/>
    <n v="1333729.5"/>
  </r>
  <r>
    <x v="1"/>
    <x v="4"/>
    <x v="0"/>
    <s v="CUST_ID_112"/>
    <s v="PROD_ID_001"/>
    <x v="62"/>
    <s v="Low"/>
    <d v="2020-01-15T00:00:00"/>
    <x v="1"/>
    <x v="1"/>
    <x v="0"/>
    <n v="2657"/>
    <n v="6"/>
    <n v="23"/>
    <n v="61111"/>
    <n v="611.11"/>
    <n v="60499.89"/>
    <n v="32.877900000000004"/>
    <n v="15942"/>
    <n v="44557.89"/>
  </r>
  <r>
    <x v="3"/>
    <x v="2"/>
    <x v="0"/>
    <s v="CUST_ID_012"/>
    <s v="PROD_ID_001"/>
    <x v="6"/>
    <s v="Low"/>
    <d v="2020-11-28T00:00:00"/>
    <x v="4"/>
    <x v="2"/>
    <x v="0"/>
    <n v="2761"/>
    <n v="6"/>
    <n v="450"/>
    <n v="1242450"/>
    <n v="12424.5"/>
    <n v="1230025.5"/>
    <n v="683.39700000000005"/>
    <n v="16566"/>
    <n v="1213459.5"/>
  </r>
  <r>
    <x v="2"/>
    <x v="5"/>
    <x v="0"/>
    <s v="CUST_ID_043"/>
    <s v="PROD_ID_001"/>
    <x v="19"/>
    <s v="Low"/>
    <d v="2020-08-07T00:00:00"/>
    <x v="2"/>
    <x v="0"/>
    <x v="0"/>
    <n v="2196"/>
    <n v="6"/>
    <n v="11"/>
    <n v="24156"/>
    <n v="241.56"/>
    <n v="23914.44"/>
    <n v="12.681899999999999"/>
    <n v="13176"/>
    <n v="10738.439999999999"/>
  </r>
  <r>
    <x v="2"/>
    <x v="5"/>
    <x v="1"/>
    <s v="CUST_ID_027"/>
    <s v="PROD_ID_002"/>
    <x v="58"/>
    <s v="Low"/>
    <d v="2020-02-17T00:00:00"/>
    <x v="3"/>
    <x v="1"/>
    <x v="0"/>
    <n v="5391"/>
    <n v="12"/>
    <n v="11"/>
    <n v="59301"/>
    <n v="593.01"/>
    <n v="58707.99"/>
    <n v="31.133024999999996"/>
    <n v="64692"/>
    <n v="-5984.010000000002"/>
  </r>
  <r>
    <x v="0"/>
    <x v="5"/>
    <x v="1"/>
    <s v="CUST_ID_051"/>
    <s v="PROD_ID_002"/>
    <x v="26"/>
    <s v="Low"/>
    <d v="2020-06-24T00:00:00"/>
    <x v="11"/>
    <x v="3"/>
    <x v="0"/>
    <n v="944"/>
    <n v="12"/>
    <n v="188"/>
    <n v="177472"/>
    <n v="1774.72"/>
    <n v="175697.28"/>
    <n v="97.391249999999999"/>
    <n v="11328"/>
    <n v="164369.28"/>
  </r>
  <r>
    <x v="1"/>
    <x v="7"/>
    <x v="1"/>
    <s v="CUST_ID_038"/>
    <s v="PROD_ID_002"/>
    <x v="68"/>
    <s v="Low"/>
    <d v="2020-06-08T00:00:00"/>
    <x v="11"/>
    <x v="3"/>
    <x v="0"/>
    <n v="896"/>
    <n v="12"/>
    <n v="23"/>
    <n v="20608"/>
    <n v="206.08"/>
    <n v="20401.919999999998"/>
    <n v="11.09295"/>
    <n v="10752"/>
    <n v="9649.9199999999983"/>
  </r>
  <r>
    <x v="2"/>
    <x v="7"/>
    <x v="2"/>
    <s v="CUST_ID_054"/>
    <s v="PROD_ID_003"/>
    <x v="34"/>
    <s v="Low"/>
    <d v="2020-10-13T00:00:00"/>
    <x v="6"/>
    <x v="2"/>
    <x v="0"/>
    <n v="4637"/>
    <n v="148"/>
    <n v="30"/>
    <n v="139110"/>
    <n v="1391.1000000000001"/>
    <n v="137718.9"/>
    <n v="76.507200000000012"/>
    <n v="686276"/>
    <n v="-548557.1"/>
  </r>
  <r>
    <x v="2"/>
    <x v="3"/>
    <x v="3"/>
    <s v="CUST_ID_055"/>
    <s v="PROD_ID_004"/>
    <x v="29"/>
    <s v="Low"/>
    <d v="2020-09-21T00:00:00"/>
    <x v="0"/>
    <x v="0"/>
    <x v="0"/>
    <n v="1132"/>
    <n v="308"/>
    <n v="525"/>
    <n v="594300"/>
    <n v="5943"/>
    <n v="588357"/>
    <n v="326.92275000000001"/>
    <n v="348656"/>
    <n v="239701"/>
  </r>
  <r>
    <x v="0"/>
    <x v="6"/>
    <x v="3"/>
    <s v="CUST_ID_117"/>
    <s v="PROD_ID_004"/>
    <x v="31"/>
    <s v="Low"/>
    <d v="2020-04-30T00:00:00"/>
    <x v="10"/>
    <x v="3"/>
    <x v="0"/>
    <n v="872"/>
    <n v="308"/>
    <n v="188"/>
    <n v="163936"/>
    <n v="1639.3600000000001"/>
    <n v="162296.64000000001"/>
    <n v="89.966250000000002"/>
    <n v="268576"/>
    <n v="-106279.35999999999"/>
  </r>
  <r>
    <x v="0"/>
    <x v="7"/>
    <x v="3"/>
    <s v="CUST_ID_118"/>
    <s v="PROD_ID_004"/>
    <x v="50"/>
    <s v="Low"/>
    <d v="2020-05-27T00:00:00"/>
    <x v="7"/>
    <x v="3"/>
    <x v="0"/>
    <n v="944"/>
    <n v="308"/>
    <n v="188"/>
    <n v="177472"/>
    <n v="1774.72"/>
    <n v="175697.28"/>
    <n v="97.391249999999999"/>
    <n v="290752"/>
    <n v="-115054.72"/>
  </r>
  <r>
    <x v="0"/>
    <x v="7"/>
    <x v="3"/>
    <s v="CUST_ID_118"/>
    <s v="PROD_ID_004"/>
    <x v="50"/>
    <s v="Low"/>
    <d v="2020-09-21T00:00:00"/>
    <x v="0"/>
    <x v="0"/>
    <x v="0"/>
    <n v="2093"/>
    <n v="308"/>
    <n v="188"/>
    <n v="393484"/>
    <n v="3934.84"/>
    <n v="389549.16"/>
    <n v="215.82"/>
    <n v="644644"/>
    <n v="-255094.84000000003"/>
  </r>
  <r>
    <x v="4"/>
    <x v="2"/>
    <x v="4"/>
    <s v="CUST_ID_036"/>
    <s v="PROD_ID_005"/>
    <x v="67"/>
    <s v="Low"/>
    <d v="2020-05-03T00:00:00"/>
    <x v="7"/>
    <x v="3"/>
    <x v="0"/>
    <n v="1554"/>
    <n v="4"/>
    <n v="18"/>
    <n v="27972"/>
    <n v="559.44000000000005"/>
    <n v="27412.560000000001"/>
    <n v="15.229200000000001"/>
    <n v="6216"/>
    <n v="21196.560000000001"/>
  </r>
  <r>
    <x v="2"/>
    <x v="1"/>
    <x v="4"/>
    <s v="CUST_ID_042"/>
    <s v="PROD_ID_005"/>
    <x v="32"/>
    <s v="Low"/>
    <d v="2020-07-20T00:00:00"/>
    <x v="8"/>
    <x v="0"/>
    <x v="0"/>
    <n v="3422"/>
    <n v="4"/>
    <n v="525"/>
    <n v="1796550"/>
    <n v="35931"/>
    <n v="1760619"/>
    <n v="978.23599999999999"/>
    <n v="13688"/>
    <n v="1746931"/>
  </r>
  <r>
    <x v="2"/>
    <x v="5"/>
    <x v="0"/>
    <s v="CUST_ID_099"/>
    <s v="PROD_ID_001"/>
    <x v="69"/>
    <s v="Low"/>
    <d v="2020-07-17T00:00:00"/>
    <x v="8"/>
    <x v="0"/>
    <x v="0"/>
    <n v="1879"/>
    <n v="6"/>
    <n v="30"/>
    <n v="56370"/>
    <n v="1127.4000000000001"/>
    <n v="55242.6"/>
    <n v="30.6936"/>
    <n v="11274"/>
    <n v="43968.6"/>
  </r>
  <r>
    <x v="3"/>
    <x v="0"/>
    <x v="1"/>
    <s v="CUST_ID_121"/>
    <s v="PROD_ID_002"/>
    <x v="70"/>
    <s v="Low"/>
    <d v="2020-06-02T00:00:00"/>
    <x v="11"/>
    <x v="3"/>
    <x v="0"/>
    <n v="1102"/>
    <n v="12"/>
    <n v="450"/>
    <n v="495900"/>
    <n v="9918"/>
    <n v="485982"/>
    <n v="269.892"/>
    <n v="13224"/>
    <n v="472758"/>
  </r>
  <r>
    <x v="3"/>
    <x v="6"/>
    <x v="1"/>
    <s v="CUST_ID_069"/>
    <s v="PROD_ID_002"/>
    <x v="31"/>
    <s v="Low"/>
    <d v="2020-07-29T00:00:00"/>
    <x v="8"/>
    <x v="0"/>
    <x v="0"/>
    <n v="2074"/>
    <n v="12"/>
    <n v="450"/>
    <n v="933300"/>
    <n v="18666"/>
    <n v="914634"/>
    <n v="508.03199999999998"/>
    <n v="24888"/>
    <n v="889746"/>
  </r>
  <r>
    <x v="4"/>
    <x v="6"/>
    <x v="1"/>
    <s v="CUST_ID_005"/>
    <s v="PROD_ID_002"/>
    <x v="71"/>
    <s v="Low"/>
    <d v="2020-05-20T00:00:00"/>
    <x v="7"/>
    <x v="3"/>
    <x v="0"/>
    <n v="1370"/>
    <n v="12"/>
    <n v="18"/>
    <n v="24660"/>
    <n v="493.2"/>
    <n v="24166.799999999999"/>
    <n v="13.429919999999999"/>
    <n v="16440"/>
    <n v="7726.7999999999993"/>
  </r>
  <r>
    <x v="0"/>
    <x v="4"/>
    <x v="1"/>
    <s v="CUST_ID_024"/>
    <s v="PROD_ID_002"/>
    <x v="11"/>
    <s v="Low"/>
    <d v="2020-05-01T00:00:00"/>
    <x v="7"/>
    <x v="3"/>
    <x v="0"/>
    <n v="794"/>
    <n v="12"/>
    <n v="188"/>
    <n v="149272"/>
    <n v="2985.44"/>
    <n v="146286.56"/>
    <n v="81.094999999999999"/>
    <n v="9528"/>
    <n v="136758.56"/>
  </r>
  <r>
    <x v="4"/>
    <x v="2"/>
    <x v="1"/>
    <s v="CUST_ID_060"/>
    <s v="PROD_ID_002"/>
    <x v="32"/>
    <s v="Low"/>
    <d v="2020-02-23T00:00:00"/>
    <x v="3"/>
    <x v="1"/>
    <x v="0"/>
    <n v="1554"/>
    <n v="12"/>
    <n v="18"/>
    <n v="27972"/>
    <n v="559.44000000000005"/>
    <n v="27412.560000000001"/>
    <n v="15.229200000000001"/>
    <n v="18648"/>
    <n v="8764.5600000000013"/>
  </r>
  <r>
    <x v="3"/>
    <x v="7"/>
    <x v="1"/>
    <s v="CUST_ID_070"/>
    <s v="PROD_ID_002"/>
    <x v="72"/>
    <s v="Low"/>
    <d v="2020-12-16T00:00:00"/>
    <x v="5"/>
    <x v="2"/>
    <x v="0"/>
    <n v="2299"/>
    <n v="12"/>
    <n v="450"/>
    <n v="1034550"/>
    <n v="20691"/>
    <n v="1013859"/>
    <n v="563.30399999999997"/>
    <n v="27588"/>
    <n v="986271"/>
  </r>
  <r>
    <x v="2"/>
    <x v="2"/>
    <x v="1"/>
    <s v="CUST_ID_004"/>
    <s v="PROD_ID_002"/>
    <x v="2"/>
    <s v="Low"/>
    <d v="2020-04-19T00:00:00"/>
    <x v="10"/>
    <x v="3"/>
    <x v="0"/>
    <n v="3422"/>
    <n v="12"/>
    <n v="525"/>
    <n v="1796550"/>
    <n v="35931"/>
    <n v="1760619"/>
    <n v="978.23599999999999"/>
    <n v="41064"/>
    <n v="1719555"/>
  </r>
  <r>
    <x v="0"/>
    <x v="1"/>
    <x v="1"/>
    <s v="CUST_ID_122"/>
    <s v="PROD_ID_002"/>
    <x v="41"/>
    <s v="Low"/>
    <d v="2020-12-04T00:00:00"/>
    <x v="5"/>
    <x v="2"/>
    <x v="0"/>
    <n v="3275"/>
    <n v="12"/>
    <n v="188"/>
    <n v="615700"/>
    <n v="12314"/>
    <n v="603386"/>
    <n v="334.30250000000001"/>
    <n v="39300"/>
    <n v="564086"/>
  </r>
  <r>
    <x v="4"/>
    <x v="0"/>
    <x v="1"/>
    <s v="CUST_ID_025"/>
    <s v="PROD_ID_002"/>
    <x v="12"/>
    <s v="Low"/>
    <d v="2020-02-06T00:00:00"/>
    <x v="3"/>
    <x v="1"/>
    <x v="0"/>
    <n v="1266"/>
    <n v="12"/>
    <n v="18"/>
    <n v="22788"/>
    <n v="455.76"/>
    <n v="22332.240000000002"/>
    <n v="12.406799999999999"/>
    <n v="15192"/>
    <n v="7140.2400000000016"/>
  </r>
  <r>
    <x v="4"/>
    <x v="5"/>
    <x v="2"/>
    <s v="CUST_ID_123"/>
    <s v="PROD_ID_003"/>
    <x v="69"/>
    <s v="Low"/>
    <d v="2020-12-14T00:00:00"/>
    <x v="5"/>
    <x v="2"/>
    <x v="0"/>
    <n v="1266"/>
    <n v="148"/>
    <n v="18"/>
    <n v="22788"/>
    <n v="455.76"/>
    <n v="22332.240000000002"/>
    <n v="12.406799999999999"/>
    <n v="187368"/>
    <n v="-165035.76"/>
  </r>
  <r>
    <x v="2"/>
    <x v="4"/>
    <x v="5"/>
    <s v="CUST_ID_064"/>
    <s v="PROD_ID_006"/>
    <x v="73"/>
    <s v="Low"/>
    <d v="2020-02-03T00:00:00"/>
    <x v="3"/>
    <x v="1"/>
    <x v="0"/>
    <n v="1483"/>
    <n v="320"/>
    <n v="30"/>
    <n v="44490"/>
    <n v="889.80000000000007"/>
    <n v="43600.2"/>
    <n v="24.2256"/>
    <n v="474560"/>
    <n v="-430959.8"/>
  </r>
  <r>
    <x v="0"/>
    <x v="6"/>
    <x v="4"/>
    <s v="CUST_ID_085"/>
    <s v="PROD_ID_005"/>
    <x v="54"/>
    <s v="Low"/>
    <d v="2020-04-28T00:00:00"/>
    <x v="10"/>
    <x v="3"/>
    <x v="0"/>
    <n v="5092"/>
    <n v="4"/>
    <n v="188"/>
    <n v="957296"/>
    <n v="28718.879999999997"/>
    <n v="928577.12"/>
    <n v="514.52437499999996"/>
    <n v="20368"/>
    <n v="908209.12"/>
  </r>
  <r>
    <x v="2"/>
    <x v="5"/>
    <x v="0"/>
    <s v="CUST_ID_059"/>
    <s v="PROD_ID_001"/>
    <x v="74"/>
    <s v="Low"/>
    <d v="2020-07-23T00:00:00"/>
    <x v="8"/>
    <x v="0"/>
    <x v="0"/>
    <n v="653"/>
    <n v="6"/>
    <n v="11"/>
    <n v="7183"/>
    <n v="215.48999999999998"/>
    <n v="6967.51"/>
    <n v="3.6937600000000002"/>
    <n v="3918"/>
    <n v="3049.51"/>
  </r>
  <r>
    <x v="0"/>
    <x v="3"/>
    <x v="0"/>
    <s v="CUST_ID_079"/>
    <s v="PROD_ID_001"/>
    <x v="29"/>
    <s v="Low"/>
    <d v="2020-09-27T00:00:00"/>
    <x v="0"/>
    <x v="0"/>
    <x v="0"/>
    <n v="1544"/>
    <n v="6"/>
    <n v="188"/>
    <n v="290272"/>
    <n v="8708.16"/>
    <n v="281563.84000000003"/>
    <n v="156.04875000000001"/>
    <n v="9264"/>
    <n v="272299.84000000003"/>
  </r>
  <r>
    <x v="0"/>
    <x v="2"/>
    <x v="0"/>
    <s v="CUST_ID_068"/>
    <s v="PROD_ID_001"/>
    <x v="39"/>
    <s v="Low"/>
    <d v="2020-05-15T00:00:00"/>
    <x v="7"/>
    <x v="3"/>
    <x v="0"/>
    <n v="2047"/>
    <n v="6"/>
    <n v="188"/>
    <n v="384836"/>
    <n v="11545.08"/>
    <n v="373290.92"/>
    <n v="206.85249999999999"/>
    <n v="12282"/>
    <n v="361008.92"/>
  </r>
  <r>
    <x v="4"/>
    <x v="0"/>
    <x v="1"/>
    <s v="CUST_ID_025"/>
    <s v="PROD_ID_002"/>
    <x v="12"/>
    <s v="Low"/>
    <d v="2020-01-14T00:00:00"/>
    <x v="1"/>
    <x v="1"/>
    <x v="0"/>
    <n v="2281"/>
    <n v="12"/>
    <n v="18"/>
    <n v="41058"/>
    <n v="1231.74"/>
    <n v="39826.26"/>
    <n v="22.12764"/>
    <n v="27372"/>
    <n v="12454.260000000002"/>
  </r>
  <r>
    <x v="3"/>
    <x v="6"/>
    <x v="1"/>
    <s v="CUST_ID_069"/>
    <s v="PROD_ID_002"/>
    <x v="31"/>
    <s v="Low"/>
    <d v="2020-12-14T00:00:00"/>
    <x v="5"/>
    <x v="2"/>
    <x v="0"/>
    <n v="827"/>
    <n v="12"/>
    <n v="450"/>
    <n v="372150"/>
    <n v="11164.5"/>
    <n v="360985.5"/>
    <n v="200.499"/>
    <n v="9924"/>
    <n v="351061.5"/>
  </r>
  <r>
    <x v="4"/>
    <x v="6"/>
    <x v="1"/>
    <s v="CUST_ID_005"/>
    <s v="PROD_ID_002"/>
    <x v="71"/>
    <s v="Low"/>
    <d v="2020-06-06T00:00:00"/>
    <x v="11"/>
    <x v="3"/>
    <x v="0"/>
    <n v="1643"/>
    <n v="12"/>
    <n v="18"/>
    <n v="29574"/>
    <n v="887.21999999999991"/>
    <n v="28686.78"/>
    <n v="15.94098"/>
    <n v="19716"/>
    <n v="8970.7799999999988"/>
  </r>
  <r>
    <x v="0"/>
    <x v="1"/>
    <x v="1"/>
    <s v="CUST_ID_122"/>
    <s v="PROD_ID_002"/>
    <x v="41"/>
    <s v="Low"/>
    <d v="2020-01-07T00:00:00"/>
    <x v="1"/>
    <x v="1"/>
    <x v="0"/>
    <n v="2411"/>
    <n v="12"/>
    <n v="188"/>
    <n v="453268"/>
    <n v="13598.039999999999"/>
    <n v="439669.96"/>
    <n v="243.59125"/>
    <n v="28932"/>
    <n v="410737.96"/>
  </r>
  <r>
    <x v="0"/>
    <x v="5"/>
    <x v="1"/>
    <s v="CUST_ID_051"/>
    <s v="PROD_ID_002"/>
    <x v="26"/>
    <s v="Low"/>
    <d v="2020-05-31T00:00:00"/>
    <x v="7"/>
    <x v="3"/>
    <x v="0"/>
    <n v="1544"/>
    <n v="12"/>
    <n v="188"/>
    <n v="290272"/>
    <n v="8708.16"/>
    <n v="281563.84000000003"/>
    <n v="156.04875000000001"/>
    <n v="18528"/>
    <n v="263035.84000000003"/>
  </r>
  <r>
    <x v="4"/>
    <x v="0"/>
    <x v="3"/>
    <s v="CUST_ID_089"/>
    <s v="PROD_ID_004"/>
    <x v="46"/>
    <s v="Low"/>
    <d v="2020-09-23T00:00:00"/>
    <x v="0"/>
    <x v="0"/>
    <x v="0"/>
    <n v="2299"/>
    <n v="308"/>
    <n v="18"/>
    <n v="41382"/>
    <n v="1241.46"/>
    <n v="40140.54"/>
    <n v="22.302240000000001"/>
    <n v="708092"/>
    <n v="-667951.46"/>
  </r>
  <r>
    <x v="0"/>
    <x v="1"/>
    <x v="3"/>
    <s v="CUST_ID_130"/>
    <s v="PROD_ID_004"/>
    <x v="75"/>
    <s v="Low"/>
    <d v="2020-03-08T00:00:00"/>
    <x v="9"/>
    <x v="1"/>
    <x v="0"/>
    <n v="1884"/>
    <n v="308"/>
    <n v="188"/>
    <n v="354192"/>
    <n v="10625.76"/>
    <n v="343566.24"/>
    <n v="190.36250000000001"/>
    <n v="580272"/>
    <n v="-236705.76"/>
  </r>
  <r>
    <x v="3"/>
    <x v="3"/>
    <x v="3"/>
    <s v="CUST_ID_063"/>
    <s v="PROD_ID_004"/>
    <x v="36"/>
    <s v="Low"/>
    <d v="2020-04-11T00:00:00"/>
    <x v="10"/>
    <x v="3"/>
    <x v="0"/>
    <n v="2249"/>
    <n v="308"/>
    <n v="450"/>
    <n v="1012050"/>
    <n v="30361.5"/>
    <n v="981688.5"/>
    <n v="545.33399999999995"/>
    <n v="692692"/>
    <n v="288996.5"/>
  </r>
  <r>
    <x v="2"/>
    <x v="1"/>
    <x v="3"/>
    <s v="CUST_ID_034"/>
    <s v="PROD_ID_004"/>
    <x v="76"/>
    <s v="Low"/>
    <d v="2020-12-21T00:00:00"/>
    <x v="5"/>
    <x v="2"/>
    <x v="0"/>
    <n v="1970"/>
    <n v="308"/>
    <n v="525"/>
    <n v="1034250"/>
    <n v="31027.5"/>
    <n v="1003222.5"/>
    <n v="557.45899999999995"/>
    <n v="606760"/>
    <n v="396462.5"/>
  </r>
  <r>
    <x v="2"/>
    <x v="1"/>
    <x v="4"/>
    <s v="CUST_ID_042"/>
    <s v="PROD_ID_005"/>
    <x v="32"/>
    <s v="Low"/>
    <d v="2020-12-20T00:00:00"/>
    <x v="5"/>
    <x v="2"/>
    <x v="0"/>
    <n v="997"/>
    <n v="4"/>
    <n v="30"/>
    <n v="29910"/>
    <n v="897.30000000000007"/>
    <n v="29012.7"/>
    <n v="16.121400000000001"/>
    <n v="3988"/>
    <n v="25024.7"/>
  </r>
  <r>
    <x v="2"/>
    <x v="4"/>
    <x v="2"/>
    <s v="CUST_ID_016"/>
    <s v="PROD_ID_003"/>
    <x v="77"/>
    <s v="Low"/>
    <d v="2020-12-02T00:00:00"/>
    <x v="5"/>
    <x v="2"/>
    <x v="0"/>
    <n v="4621"/>
    <n v="148"/>
    <n v="30"/>
    <n v="138630"/>
    <n v="4158.9000000000005"/>
    <n v="134471.1"/>
    <n v="74.699700000000007"/>
    <n v="683908"/>
    <n v="-549436.9"/>
  </r>
  <r>
    <x v="3"/>
    <x v="2"/>
    <x v="4"/>
    <s v="CUST_ID_020"/>
    <s v="PROD_ID_005"/>
    <x v="8"/>
    <s v="Low"/>
    <d v="2020-09-06T00:00:00"/>
    <x v="0"/>
    <x v="0"/>
    <x v="0"/>
    <n v="2425"/>
    <n v="4"/>
    <n v="450"/>
    <n v="1091250"/>
    <n v="43650"/>
    <n v="1047600"/>
    <n v="582.048"/>
    <n v="9700"/>
    <n v="1037900"/>
  </r>
  <r>
    <x v="2"/>
    <x v="2"/>
    <x v="1"/>
    <s v="CUST_ID_004"/>
    <s v="PROD_ID_002"/>
    <x v="2"/>
    <s v="Low"/>
    <d v="2020-05-05T00:00:00"/>
    <x v="7"/>
    <x v="3"/>
    <x v="0"/>
    <n v="5101"/>
    <n v="12"/>
    <n v="11"/>
    <n v="56111"/>
    <n v="2244.44"/>
    <n v="53866.559999999998"/>
    <n v="28.56672"/>
    <n v="61212"/>
    <n v="-7345.4400000000023"/>
  </r>
  <r>
    <x v="3"/>
    <x v="6"/>
    <x v="1"/>
    <s v="CUST_ID_069"/>
    <s v="PROD_ID_002"/>
    <x v="31"/>
    <s v="Low"/>
    <d v="2020-02-24T00:00:00"/>
    <x v="3"/>
    <x v="1"/>
    <x v="0"/>
    <n v="1697"/>
    <n v="12"/>
    <n v="450"/>
    <n v="763650"/>
    <n v="30546"/>
    <n v="733104"/>
    <n v="407.37599999999998"/>
    <n v="20364"/>
    <n v="712740"/>
  </r>
  <r>
    <x v="3"/>
    <x v="2"/>
    <x v="1"/>
    <s v="CUST_ID_116"/>
    <s v="PROD_ID_002"/>
    <x v="49"/>
    <s v="Low"/>
    <d v="2020-08-31T00:00:00"/>
    <x v="2"/>
    <x v="0"/>
    <x v="0"/>
    <n v="3502"/>
    <n v="12"/>
    <n v="450"/>
    <n v="1575900"/>
    <n v="63036"/>
    <n v="1512864"/>
    <n v="840.38400000000001"/>
    <n v="42024"/>
    <n v="1470840"/>
  </r>
  <r>
    <x v="2"/>
    <x v="5"/>
    <x v="1"/>
    <s v="CUST_ID_027"/>
    <s v="PROD_ID_002"/>
    <x v="58"/>
    <s v="Low"/>
    <d v="2020-11-16T00:00:00"/>
    <x v="4"/>
    <x v="2"/>
    <x v="0"/>
    <n v="329"/>
    <n v="12"/>
    <n v="525"/>
    <n v="172725"/>
    <n v="6909"/>
    <n v="165816"/>
    <n v="92.063999999999993"/>
    <n v="3948"/>
    <n v="161868"/>
  </r>
  <r>
    <x v="0"/>
    <x v="4"/>
    <x v="1"/>
    <s v="CUST_ID_024"/>
    <s v="PROD_ID_002"/>
    <x v="11"/>
    <s v="Low"/>
    <d v="2020-02-19T00:00:00"/>
    <x v="3"/>
    <x v="1"/>
    <x v="0"/>
    <n v="1366"/>
    <n v="12"/>
    <n v="188"/>
    <n v="256808"/>
    <n v="10272.32"/>
    <n v="246535.67999999999"/>
    <n v="136.56"/>
    <n v="16392"/>
    <n v="230143.68"/>
  </r>
  <r>
    <x v="4"/>
    <x v="0"/>
    <x v="3"/>
    <s v="CUST_ID_081"/>
    <s v="PROD_ID_004"/>
    <x v="44"/>
    <s v="Low"/>
    <d v="2020-06-30T00:00:00"/>
    <x v="11"/>
    <x v="3"/>
    <x v="0"/>
    <n v="1039"/>
    <n v="308"/>
    <n v="18"/>
    <n v="18702"/>
    <n v="748.08"/>
    <n v="17953.919999999998"/>
    <n v="9.9763199999999994"/>
    <n v="320012"/>
    <n v="-302058.08"/>
  </r>
  <r>
    <x v="2"/>
    <x v="4"/>
    <x v="3"/>
    <s v="CUST_ID_008"/>
    <s v="PROD_ID_004"/>
    <x v="4"/>
    <s v="Low"/>
    <d v="2020-03-02T00:00:00"/>
    <x v="9"/>
    <x v="1"/>
    <x v="0"/>
    <n v="2612"/>
    <n v="308"/>
    <n v="525"/>
    <n v="1371300"/>
    <n v="54852"/>
    <n v="1316448"/>
    <n v="731.47199999999998"/>
    <n v="804496"/>
    <n v="511952"/>
  </r>
  <r>
    <x v="2"/>
    <x v="6"/>
    <x v="5"/>
    <s v="CUST_ID_093"/>
    <s v="PROD_ID_006"/>
    <x v="31"/>
    <s v="Low"/>
    <d v="2020-01-10T00:00:00"/>
    <x v="1"/>
    <x v="1"/>
    <x v="0"/>
    <n v="2238"/>
    <n v="320"/>
    <n v="525"/>
    <n v="1174950"/>
    <n v="46998"/>
    <n v="1127952"/>
    <n v="626.64"/>
    <n v="716160"/>
    <n v="411792"/>
  </r>
  <r>
    <x v="2"/>
    <x v="5"/>
    <x v="5"/>
    <s v="CUST_ID_035"/>
    <s v="PROD_ID_006"/>
    <x v="23"/>
    <s v="Low"/>
    <d v="2020-12-10T00:00:00"/>
    <x v="5"/>
    <x v="2"/>
    <x v="0"/>
    <n v="2288"/>
    <n v="320"/>
    <n v="525"/>
    <n v="1201200"/>
    <n v="48048"/>
    <n v="1153152"/>
    <n v="640.75199999999995"/>
    <n v="732160"/>
    <n v="420992"/>
  </r>
  <r>
    <x v="2"/>
    <x v="1"/>
    <x v="3"/>
    <s v="CUST_ID_034"/>
    <s v="PROD_ID_004"/>
    <x v="76"/>
    <s v="Medium"/>
    <d v="2020-07-14T00:00:00"/>
    <x v="8"/>
    <x v="0"/>
    <x v="0"/>
    <n v="3227"/>
    <n v="308"/>
    <n v="11"/>
    <n v="35497"/>
    <n v="1774.85"/>
    <n v="33722.15"/>
    <n v="17.88185"/>
    <n v="993916"/>
    <n v="-960193.85"/>
  </r>
  <r>
    <x v="4"/>
    <x v="1"/>
    <x v="4"/>
    <s v="CUST_ID_010"/>
    <s v="PROD_ID_005"/>
    <x v="78"/>
    <s v="Medium"/>
    <d v="2020-05-29T00:00:00"/>
    <x v="7"/>
    <x v="3"/>
    <x v="0"/>
    <n v="1339"/>
    <n v="4"/>
    <n v="18"/>
    <n v="24102"/>
    <n v="1205.1000000000001"/>
    <n v="22896.9"/>
    <n v="12.7224"/>
    <n v="5356"/>
    <n v="17540.900000000001"/>
  </r>
  <r>
    <x v="2"/>
    <x v="6"/>
    <x v="4"/>
    <s v="CUST_ID_021"/>
    <s v="PROD_ID_005"/>
    <x v="9"/>
    <s v="Medium"/>
    <d v="2020-08-09T00:00:00"/>
    <x v="2"/>
    <x v="0"/>
    <x v="0"/>
    <n v="1876"/>
    <n v="4"/>
    <n v="30"/>
    <n v="56280"/>
    <n v="2814"/>
    <n v="53466"/>
    <n v="29.696999999999999"/>
    <n v="7504"/>
    <n v="45962"/>
  </r>
  <r>
    <x v="1"/>
    <x v="2"/>
    <x v="4"/>
    <s v="CUST_ID_108"/>
    <s v="PROD_ID_005"/>
    <x v="79"/>
    <s v="Medium"/>
    <d v="2020-09-06T00:00:00"/>
    <x v="0"/>
    <x v="0"/>
    <x v="0"/>
    <n v="3349"/>
    <n v="4"/>
    <n v="23"/>
    <n v="77027"/>
    <n v="3851.3500000000004"/>
    <n v="73175.649999999994"/>
    <n v="39.771749999999997"/>
    <n v="13396"/>
    <n v="59779.649999999994"/>
  </r>
  <r>
    <x v="2"/>
    <x v="0"/>
    <x v="4"/>
    <s v="CUST_ID_057"/>
    <s v="PROD_ID_005"/>
    <x v="31"/>
    <s v="Medium"/>
    <d v="2020-04-05T00:00:00"/>
    <x v="10"/>
    <x v="3"/>
    <x v="0"/>
    <n v="684"/>
    <n v="4"/>
    <n v="11"/>
    <n v="7524"/>
    <n v="376.20000000000005"/>
    <n v="7147.8"/>
    <n v="3.7905000000000002"/>
    <n v="2736"/>
    <n v="4411.8"/>
  </r>
  <r>
    <x v="2"/>
    <x v="5"/>
    <x v="0"/>
    <s v="CUST_ID_059"/>
    <s v="PROD_ID_001"/>
    <x v="74"/>
    <s v="Medium"/>
    <d v="2020-06-24T00:00:00"/>
    <x v="11"/>
    <x v="3"/>
    <x v="0"/>
    <n v="1661"/>
    <n v="6"/>
    <n v="525"/>
    <n v="872025"/>
    <n v="43601.25"/>
    <n v="828423.75"/>
    <n v="460.34625"/>
    <n v="9966"/>
    <n v="818457.75"/>
  </r>
  <r>
    <x v="0"/>
    <x v="6"/>
    <x v="0"/>
    <s v="CUST_ID_013"/>
    <s v="PROD_ID_001"/>
    <x v="7"/>
    <s v="Medium"/>
    <d v="2020-06-06T00:00:00"/>
    <x v="11"/>
    <x v="3"/>
    <x v="0"/>
    <n v="4352"/>
    <n v="6"/>
    <n v="188"/>
    <n v="818176"/>
    <n v="40908.800000000003"/>
    <n v="777267.19999999995"/>
    <n v="430.70625000000001"/>
    <n v="26112"/>
    <n v="751155.19999999995"/>
  </r>
  <r>
    <x v="4"/>
    <x v="3"/>
    <x v="0"/>
    <s v="CUST_ID_111"/>
    <s v="PROD_ID_001"/>
    <x v="26"/>
    <s v="Medium"/>
    <d v="2020-08-24T00:00:00"/>
    <x v="2"/>
    <x v="0"/>
    <x v="0"/>
    <n v="2810"/>
    <n v="6"/>
    <n v="18"/>
    <n v="50580"/>
    <n v="2529"/>
    <n v="48051"/>
    <n v="26.698799999999999"/>
    <n v="16860"/>
    <n v="31191"/>
  </r>
  <r>
    <x v="0"/>
    <x v="5"/>
    <x v="1"/>
    <s v="CUST_ID_051"/>
    <s v="PROD_ID_002"/>
    <x v="26"/>
    <s v="Medium"/>
    <d v="2020-01-13T00:00:00"/>
    <x v="1"/>
    <x v="1"/>
    <x v="0"/>
    <n v="2862"/>
    <n v="12"/>
    <n v="188"/>
    <n v="538056"/>
    <n v="26902.800000000003"/>
    <n v="511153.2"/>
    <n v="283.21875"/>
    <n v="34344"/>
    <n v="476809.2"/>
  </r>
  <r>
    <x v="3"/>
    <x v="5"/>
    <x v="1"/>
    <s v="CUST_ID_003"/>
    <s v="PROD_ID_002"/>
    <x v="80"/>
    <s v="Medium"/>
    <d v="2020-03-03T00:00:00"/>
    <x v="9"/>
    <x v="1"/>
    <x v="0"/>
    <n v="1928"/>
    <n v="12"/>
    <n v="450"/>
    <n v="867600"/>
    <n v="43380"/>
    <n v="824220"/>
    <n v="457.995"/>
    <n v="23136"/>
    <n v="801084"/>
  </r>
  <r>
    <x v="3"/>
    <x v="2"/>
    <x v="1"/>
    <s v="CUST_ID_116"/>
    <s v="PROD_ID_002"/>
    <x v="49"/>
    <s v="Medium"/>
    <d v="2020-10-07T00:00:00"/>
    <x v="6"/>
    <x v="2"/>
    <x v="0"/>
    <n v="1189"/>
    <n v="12"/>
    <n v="450"/>
    <n v="535050"/>
    <n v="26752.5"/>
    <n v="508297.5"/>
    <n v="282.435"/>
    <n v="14268"/>
    <n v="494029.5"/>
  </r>
  <r>
    <x v="1"/>
    <x v="1"/>
    <x v="1"/>
    <s v="CUST_ID_002"/>
    <s v="PROD_ID_002"/>
    <x v="1"/>
    <s v="Medium"/>
    <d v="2020-01-31T00:00:00"/>
    <x v="1"/>
    <x v="1"/>
    <x v="0"/>
    <n v="3144"/>
    <n v="12"/>
    <n v="23"/>
    <n v="72312"/>
    <n v="3615.6000000000004"/>
    <n v="68696.399999999994"/>
    <n v="37.335000000000001"/>
    <n v="37728"/>
    <n v="30968.399999999994"/>
  </r>
  <r>
    <x v="0"/>
    <x v="5"/>
    <x v="1"/>
    <s v="CUST_ID_115"/>
    <s v="PROD_ID_002"/>
    <x v="48"/>
    <s v="Medium"/>
    <d v="2020-07-17T00:00:00"/>
    <x v="8"/>
    <x v="0"/>
    <x v="0"/>
    <n v="1033"/>
    <n v="12"/>
    <n v="188"/>
    <n v="194204"/>
    <n v="9710.2000000000007"/>
    <n v="184493.8"/>
    <n v="102.24375000000001"/>
    <n v="12396"/>
    <n v="172097.8"/>
  </r>
  <r>
    <x v="2"/>
    <x v="5"/>
    <x v="1"/>
    <s v="CUST_ID_027"/>
    <s v="PROD_ID_002"/>
    <x v="58"/>
    <s v="Medium"/>
    <d v="2020-01-20T00:00:00"/>
    <x v="1"/>
    <x v="1"/>
    <x v="0"/>
    <n v="3196"/>
    <n v="12"/>
    <n v="30"/>
    <n v="95880"/>
    <n v="4794"/>
    <n v="91086"/>
    <n v="50.597000000000001"/>
    <n v="38352"/>
    <n v="52734"/>
  </r>
  <r>
    <x v="1"/>
    <x v="3"/>
    <x v="2"/>
    <s v="CUST_ID_135"/>
    <s v="PROD_ID_003"/>
    <x v="26"/>
    <s v="Medium"/>
    <d v="2020-10-03T00:00:00"/>
    <x v="6"/>
    <x v="2"/>
    <x v="0"/>
    <n v="666"/>
    <n v="148"/>
    <n v="23"/>
    <n v="15318"/>
    <n v="765.90000000000009"/>
    <n v="14552.1"/>
    <n v="7.9087500000000004"/>
    <n v="98568"/>
    <n v="-84015.9"/>
  </r>
  <r>
    <x v="2"/>
    <x v="0"/>
    <x v="2"/>
    <s v="CUST_ID_041"/>
    <s v="PROD_ID_003"/>
    <x v="81"/>
    <s v="Medium"/>
    <d v="2020-12-10T00:00:00"/>
    <x v="5"/>
    <x v="2"/>
    <x v="0"/>
    <n v="3398"/>
    <n v="148"/>
    <n v="30"/>
    <n v="101940"/>
    <n v="5097"/>
    <n v="96843"/>
    <n v="53.808"/>
    <n v="502904"/>
    <n v="-406061"/>
  </r>
  <r>
    <x v="2"/>
    <x v="3"/>
    <x v="5"/>
    <s v="CUST_ID_047"/>
    <s v="PROD_ID_006"/>
    <x v="22"/>
    <s v="Medium"/>
    <d v="2020-08-29T00:00:00"/>
    <x v="2"/>
    <x v="0"/>
    <x v="0"/>
    <n v="662"/>
    <n v="320"/>
    <n v="525"/>
    <n v="347550"/>
    <n v="17377.5"/>
    <n v="330172.5"/>
    <n v="183.54"/>
    <n v="211840"/>
    <n v="118332.5"/>
  </r>
  <r>
    <x v="2"/>
    <x v="0"/>
    <x v="4"/>
    <s v="CUST_ID_057"/>
    <s v="PROD_ID_005"/>
    <x v="31"/>
    <s v="Medium"/>
    <d v="2020-06-12T00:00:00"/>
    <x v="11"/>
    <x v="3"/>
    <x v="0"/>
    <n v="1341"/>
    <n v="4"/>
    <n v="30"/>
    <n v="40230"/>
    <n v="2413.7999999999997"/>
    <n v="37816.199999999997"/>
    <n v="21.009"/>
    <n v="5364"/>
    <n v="32452.199999999997"/>
  </r>
  <r>
    <x v="1"/>
    <x v="1"/>
    <x v="4"/>
    <s v="CUST_ID_090"/>
    <s v="PROD_ID_005"/>
    <x v="47"/>
    <s v="Medium"/>
    <d v="2020-07-27T00:00:00"/>
    <x v="8"/>
    <x v="0"/>
    <x v="0"/>
    <n v="3413"/>
    <n v="4"/>
    <n v="23"/>
    <n v="78499"/>
    <n v="4709.9399999999996"/>
    <n v="73789.06"/>
    <n v="40.1004"/>
    <n v="13652"/>
    <n v="60137.06"/>
  </r>
  <r>
    <x v="4"/>
    <x v="6"/>
    <x v="4"/>
    <s v="CUST_ID_077"/>
    <s v="PROD_ID_005"/>
    <x v="82"/>
    <s v="Medium"/>
    <d v="2020-11-23T00:00:00"/>
    <x v="4"/>
    <x v="2"/>
    <x v="0"/>
    <n v="674"/>
    <n v="4"/>
    <n v="18"/>
    <n v="12132"/>
    <n v="727.92"/>
    <n v="11404.08"/>
    <n v="6.3393600000000001"/>
    <n v="2696"/>
    <n v="8708.08"/>
  </r>
  <r>
    <x v="1"/>
    <x v="4"/>
    <x v="4"/>
    <s v="CUST_ID_136"/>
    <s v="PROD_ID_005"/>
    <x v="62"/>
    <s v="Medium"/>
    <d v="2020-07-26T00:00:00"/>
    <x v="8"/>
    <x v="0"/>
    <x v="0"/>
    <n v="2436"/>
    <n v="4"/>
    <n v="23"/>
    <n v="56028"/>
    <n v="3361.68"/>
    <n v="52666.32"/>
    <n v="28.623000000000001"/>
    <n v="9744"/>
    <n v="42922.32"/>
  </r>
  <r>
    <x v="2"/>
    <x v="2"/>
    <x v="1"/>
    <s v="CUST_ID_052"/>
    <s v="PROD_ID_002"/>
    <x v="27"/>
    <s v="Medium"/>
    <d v="2020-03-01T00:00:00"/>
    <x v="9"/>
    <x v="1"/>
    <x v="0"/>
    <n v="1795"/>
    <n v="12"/>
    <n v="525"/>
    <n v="942375"/>
    <n v="56542.5"/>
    <n v="885832.5"/>
    <n v="492.18400000000003"/>
    <n v="21540"/>
    <n v="864292.5"/>
  </r>
  <r>
    <x v="0"/>
    <x v="3"/>
    <x v="2"/>
    <s v="CUST_ID_015"/>
    <s v="PROD_ID_003"/>
    <x v="59"/>
    <s v="Medium"/>
    <d v="2020-08-17T00:00:00"/>
    <x v="2"/>
    <x v="0"/>
    <x v="0"/>
    <n v="3306"/>
    <n v="148"/>
    <n v="188"/>
    <n v="621528"/>
    <n v="37291.68"/>
    <n v="584236.31999999995"/>
    <n v="323.71249999999998"/>
    <n v="489288"/>
    <n v="94948.319999999949"/>
  </r>
  <r>
    <x v="2"/>
    <x v="7"/>
    <x v="2"/>
    <s v="CUST_ID_054"/>
    <s v="PROD_ID_003"/>
    <x v="34"/>
    <s v="Medium"/>
    <d v="2020-05-14T00:00:00"/>
    <x v="7"/>
    <x v="3"/>
    <x v="0"/>
    <n v="1795"/>
    <n v="148"/>
    <n v="525"/>
    <n v="942375"/>
    <n v="56542.5"/>
    <n v="885832.5"/>
    <n v="492.18400000000003"/>
    <n v="265660"/>
    <n v="620172.5"/>
  </r>
  <r>
    <x v="1"/>
    <x v="0"/>
    <x v="3"/>
    <s v="CUST_ID_137"/>
    <s v="PROD_ID_004"/>
    <x v="46"/>
    <s v="Medium"/>
    <d v="2020-11-21T00:00:00"/>
    <x v="4"/>
    <x v="2"/>
    <x v="0"/>
    <n v="3413"/>
    <n v="308"/>
    <n v="23"/>
    <n v="78499"/>
    <n v="4709.9399999999996"/>
    <n v="73789.06"/>
    <n v="40.1004"/>
    <n v="1051204"/>
    <n v="-977414.94"/>
  </r>
  <r>
    <x v="2"/>
    <x v="1"/>
    <x v="3"/>
    <s v="CUST_ID_034"/>
    <s v="PROD_ID_004"/>
    <x v="76"/>
    <s v="Medium"/>
    <d v="2020-03-15T00:00:00"/>
    <x v="9"/>
    <x v="1"/>
    <x v="0"/>
    <n v="1798"/>
    <n v="308"/>
    <n v="11"/>
    <n v="19778"/>
    <n v="1186.68"/>
    <n v="18591.32"/>
    <n v="9.85684"/>
    <n v="553784"/>
    <n v="-535192.68000000005"/>
  </r>
  <r>
    <x v="2"/>
    <x v="6"/>
    <x v="5"/>
    <s v="CUST_ID_093"/>
    <s v="PROD_ID_006"/>
    <x v="31"/>
    <s v="Medium"/>
    <d v="2020-11-18T00:00:00"/>
    <x v="4"/>
    <x v="2"/>
    <x v="0"/>
    <n v="2015"/>
    <n v="320"/>
    <n v="525"/>
    <n v="1057875"/>
    <n v="63472.5"/>
    <n v="994402.5"/>
    <n v="552.39099999999996"/>
    <n v="644800"/>
    <n v="349602.5"/>
  </r>
  <r>
    <x v="1"/>
    <x v="1"/>
    <x v="1"/>
    <s v="CUST_ID_026"/>
    <s v="PROD_ID_002"/>
    <x v="13"/>
    <s v="Medium"/>
    <d v="2020-11-18T00:00:00"/>
    <x v="4"/>
    <x v="2"/>
    <x v="0"/>
    <n v="1384"/>
    <n v="12"/>
    <n v="23"/>
    <n v="31832"/>
    <n v="1909.92"/>
    <n v="29922.080000000002"/>
    <n v="16.257300000000001"/>
    <n v="16608"/>
    <n v="13314.080000000002"/>
  </r>
  <r>
    <x v="2"/>
    <x v="3"/>
    <x v="2"/>
    <s v="CUST_ID_031"/>
    <s v="PROD_ID_003"/>
    <x v="15"/>
    <s v="Medium"/>
    <d v="2020-06-17T00:00:00"/>
    <x v="11"/>
    <x v="3"/>
    <x v="0"/>
    <n v="1600"/>
    <n v="148"/>
    <n v="11"/>
    <n v="17600"/>
    <n v="1056"/>
    <n v="16544"/>
    <n v="8.771139999999999"/>
    <n v="236800"/>
    <n v="-220256"/>
  </r>
  <r>
    <x v="4"/>
    <x v="2"/>
    <x v="4"/>
    <s v="CUST_ID_036"/>
    <s v="PROD_ID_005"/>
    <x v="67"/>
    <s v="Medium"/>
    <d v="2020-04-24T00:00:00"/>
    <x v="10"/>
    <x v="3"/>
    <x v="0"/>
    <n v="2261"/>
    <n v="4"/>
    <n v="18"/>
    <n v="40698"/>
    <n v="2848.8599999999997"/>
    <n v="37849.14"/>
    <n v="21.02544"/>
    <n v="9044"/>
    <n v="28805.14"/>
  </r>
  <r>
    <x v="4"/>
    <x v="0"/>
    <x v="0"/>
    <s v="CUST_ID_129"/>
    <s v="PROD_ID_001"/>
    <x v="60"/>
    <s v="Medium"/>
    <d v="2020-08-25T00:00:00"/>
    <x v="2"/>
    <x v="0"/>
    <x v="0"/>
    <n v="2810"/>
    <n v="6"/>
    <n v="18"/>
    <n v="50580"/>
    <n v="3540.5999999999995"/>
    <n v="47039.4"/>
    <n v="26.13672"/>
    <n v="16860"/>
    <n v="30179.4"/>
  </r>
  <r>
    <x v="1"/>
    <x v="2"/>
    <x v="2"/>
    <s v="CUST_ID_140"/>
    <s v="PROD_ID_003"/>
    <x v="49"/>
    <s v="Medium"/>
    <d v="2020-04-18T00:00:00"/>
    <x v="10"/>
    <x v="3"/>
    <x v="0"/>
    <n v="1514"/>
    <n v="148"/>
    <n v="23"/>
    <n v="34822"/>
    <n v="2437.54"/>
    <n v="32384.46"/>
    <n v="17.604900000000001"/>
    <n v="224072"/>
    <n v="-191687.54"/>
  </r>
  <r>
    <x v="2"/>
    <x v="4"/>
    <x v="2"/>
    <s v="CUST_ID_016"/>
    <s v="PROD_ID_003"/>
    <x v="77"/>
    <s v="Medium"/>
    <d v="2020-05-08T00:00:00"/>
    <x v="7"/>
    <x v="3"/>
    <x v="0"/>
    <n v="1362"/>
    <n v="148"/>
    <n v="11"/>
    <n v="14982"/>
    <n v="1048.7399999999998"/>
    <n v="13933.26"/>
    <n v="7.3888500000000006"/>
    <n v="201576"/>
    <n v="-187642.74"/>
  </r>
  <r>
    <x v="2"/>
    <x v="4"/>
    <x v="2"/>
    <s v="CUST_ID_016"/>
    <s v="PROD_ID_003"/>
    <x v="77"/>
    <s v="Medium"/>
    <d v="2020-04-05T00:00:00"/>
    <x v="10"/>
    <x v="3"/>
    <x v="0"/>
    <n v="1898"/>
    <n v="148"/>
    <n v="11"/>
    <n v="20878"/>
    <n v="1461.4599999999998"/>
    <n v="19416.54"/>
    <n v="10.298819999999999"/>
    <n v="280904"/>
    <n v="-261487.46"/>
  </r>
  <r>
    <x v="2"/>
    <x v="3"/>
    <x v="5"/>
    <s v="CUST_ID_047"/>
    <s v="PROD_ID_006"/>
    <x v="22"/>
    <s v="Medium"/>
    <d v="2020-06-04T00:00:00"/>
    <x v="11"/>
    <x v="3"/>
    <x v="0"/>
    <n v="1362"/>
    <n v="320"/>
    <n v="11"/>
    <n v="14982"/>
    <n v="1048.7399999999998"/>
    <n v="13933.26"/>
    <n v="7.3888500000000006"/>
    <n v="435840"/>
    <n v="-421906.74"/>
  </r>
  <r>
    <x v="3"/>
    <x v="6"/>
    <x v="4"/>
    <s v="CUST_ID_141"/>
    <s v="PROD_ID_005"/>
    <x v="31"/>
    <s v="Medium"/>
    <d v="2020-07-24T00:00:00"/>
    <x v="8"/>
    <x v="0"/>
    <x v="0"/>
    <n v="2617"/>
    <n v="4"/>
    <n v="450"/>
    <n v="1177650"/>
    <n v="82435.500000000015"/>
    <n v="1095214.5"/>
    <n v="608.49900000000002"/>
    <n v="10468"/>
    <n v="1084746.5"/>
  </r>
  <r>
    <x v="2"/>
    <x v="5"/>
    <x v="0"/>
    <s v="CUST_ID_059"/>
    <s v="PROD_ID_001"/>
    <x v="74"/>
    <s v="Medium"/>
    <d v="2020-09-24T00:00:00"/>
    <x v="0"/>
    <x v="0"/>
    <x v="0"/>
    <n v="2371"/>
    <n v="6"/>
    <n v="30"/>
    <n v="71130"/>
    <n v="4979.1000000000004"/>
    <n v="66150.899999999994"/>
    <n v="36.753599999999999"/>
    <n v="14226"/>
    <n v="51924.899999999994"/>
  </r>
  <r>
    <x v="0"/>
    <x v="3"/>
    <x v="1"/>
    <s v="CUST_ID_023"/>
    <s v="PROD_ID_002"/>
    <x v="10"/>
    <s v="Medium"/>
    <d v="2020-10-09T00:00:00"/>
    <x v="6"/>
    <x v="2"/>
    <x v="0"/>
    <n v="4216"/>
    <n v="12"/>
    <n v="188"/>
    <n v="792608"/>
    <n v="55482.560000000005"/>
    <n v="737125.44"/>
    <n v="408.38625000000002"/>
    <n v="50592"/>
    <n v="686533.44"/>
  </r>
  <r>
    <x v="1"/>
    <x v="1"/>
    <x v="1"/>
    <s v="CUST_ID_002"/>
    <s v="PROD_ID_002"/>
    <x v="1"/>
    <s v="Medium"/>
    <d v="2020-04-28T00:00:00"/>
    <x v="10"/>
    <x v="3"/>
    <x v="0"/>
    <n v="2521"/>
    <n v="12"/>
    <n v="23"/>
    <n v="57983"/>
    <n v="4058.8100000000004"/>
    <n v="53924.19"/>
    <n v="29.308949999999999"/>
    <n v="30252"/>
    <n v="23672.190000000002"/>
  </r>
  <r>
    <x v="2"/>
    <x v="2"/>
    <x v="1"/>
    <s v="CUST_ID_052"/>
    <s v="PROD_ID_002"/>
    <x v="27"/>
    <s v="Medium"/>
    <d v="2020-03-06T00:00:00"/>
    <x v="9"/>
    <x v="1"/>
    <x v="0"/>
    <n v="1842"/>
    <n v="12"/>
    <n v="30"/>
    <n v="55260"/>
    <n v="3868.2000000000003"/>
    <n v="51391.8"/>
    <n v="28.550999999999998"/>
    <n v="22104"/>
    <n v="29287.800000000003"/>
  </r>
  <r>
    <x v="2"/>
    <x v="3"/>
    <x v="2"/>
    <s v="CUST_ID_031"/>
    <s v="PROD_ID_003"/>
    <x v="15"/>
    <s v="Medium"/>
    <d v="2020-12-20T00:00:00"/>
    <x v="5"/>
    <x v="2"/>
    <x v="0"/>
    <n v="731"/>
    <n v="148"/>
    <n v="30"/>
    <n v="21930"/>
    <n v="1535.1000000000001"/>
    <n v="20394.900000000001"/>
    <n v="11.327399999999999"/>
    <n v="108188"/>
    <n v="-87793.1"/>
  </r>
  <r>
    <x v="0"/>
    <x v="6"/>
    <x v="2"/>
    <s v="CUST_ID_029"/>
    <s v="PROD_ID_003"/>
    <x v="83"/>
    <s v="Medium"/>
    <d v="2020-04-12T00:00:00"/>
    <x v="10"/>
    <x v="3"/>
    <x v="0"/>
    <n v="2504"/>
    <n v="148"/>
    <n v="188"/>
    <n v="470752"/>
    <n v="32952.640000000007"/>
    <n v="437799.36"/>
    <n v="242.61375000000001"/>
    <n v="370592"/>
    <n v="67207.359999999986"/>
  </r>
  <r>
    <x v="3"/>
    <x v="7"/>
    <x v="2"/>
    <s v="CUST_ID_086"/>
    <s v="PROD_ID_003"/>
    <x v="25"/>
    <s v="Medium"/>
    <d v="2020-07-29T00:00:00"/>
    <x v="8"/>
    <x v="0"/>
    <x v="0"/>
    <n v="1646"/>
    <n v="148"/>
    <n v="450"/>
    <n v="740700"/>
    <n v="51849.000000000007"/>
    <n v="688851"/>
    <n v="382.78800000000001"/>
    <n v="243608"/>
    <n v="445243"/>
  </r>
  <r>
    <x v="3"/>
    <x v="0"/>
    <x v="3"/>
    <s v="CUST_ID_017"/>
    <s v="PROD_ID_004"/>
    <x v="84"/>
    <s v="Medium"/>
    <d v="2020-04-10T00:00:00"/>
    <x v="10"/>
    <x v="3"/>
    <x v="0"/>
    <n v="3296"/>
    <n v="308"/>
    <n v="450"/>
    <n v="1483200"/>
    <n v="103824.00000000001"/>
    <n v="1379376"/>
    <n v="766.41300000000001"/>
    <n v="1015168"/>
    <n v="364208"/>
  </r>
  <r>
    <x v="2"/>
    <x v="3"/>
    <x v="5"/>
    <s v="CUST_ID_047"/>
    <s v="PROD_ID_006"/>
    <x v="22"/>
    <s v="Medium"/>
    <d v="2020-12-04T00:00:00"/>
    <x v="5"/>
    <x v="2"/>
    <x v="0"/>
    <n v="1342"/>
    <n v="320"/>
    <n v="30"/>
    <n v="40260"/>
    <n v="2818.2000000000003"/>
    <n v="37441.800000000003"/>
    <n v="20.794799999999999"/>
    <n v="429440"/>
    <n v="-391998.2"/>
  </r>
  <r>
    <x v="2"/>
    <x v="5"/>
    <x v="0"/>
    <s v="CUST_ID_099"/>
    <s v="PROD_ID_001"/>
    <x v="69"/>
    <s v="Medium"/>
    <d v="2020-10-12T00:00:00"/>
    <x v="6"/>
    <x v="2"/>
    <x v="0"/>
    <n v="1538"/>
    <n v="6"/>
    <n v="30"/>
    <n v="46140"/>
    <n v="3691.1999999999994"/>
    <n v="42448.800000000003"/>
    <n v="23.588799999999999"/>
    <n v="9228"/>
    <n v="33220.800000000003"/>
  </r>
  <r>
    <x v="2"/>
    <x v="2"/>
    <x v="1"/>
    <s v="CUST_ID_004"/>
    <s v="PROD_ID_002"/>
    <x v="2"/>
    <s v="Medium"/>
    <d v="2020-10-21T00:00:00"/>
    <x v="6"/>
    <x v="2"/>
    <x v="0"/>
    <n v="308"/>
    <n v="12"/>
    <n v="11"/>
    <n v="3388"/>
    <n v="271.03999999999996"/>
    <n v="3116.96"/>
    <n v="1.6550799999999999"/>
    <n v="3696"/>
    <n v="-579.04"/>
  </r>
  <r>
    <x v="2"/>
    <x v="4"/>
    <x v="5"/>
    <s v="CUST_ID_064"/>
    <s v="PROD_ID_006"/>
    <x v="73"/>
    <s v="Medium"/>
    <d v="2020-10-02T00:00:00"/>
    <x v="6"/>
    <x v="2"/>
    <x v="0"/>
    <n v="1538"/>
    <n v="320"/>
    <n v="30"/>
    <n v="46140"/>
    <n v="3691.1999999999994"/>
    <n v="42448.800000000003"/>
    <n v="23.588799999999999"/>
    <n v="492160"/>
    <n v="-449711.2"/>
  </r>
  <r>
    <x v="0"/>
    <x v="2"/>
    <x v="4"/>
    <s v="CUST_ID_100"/>
    <s v="PROD_ID_005"/>
    <x v="85"/>
    <s v="Medium"/>
    <d v="2020-05-31T00:00:00"/>
    <x v="7"/>
    <x v="3"/>
    <x v="0"/>
    <n v="1848"/>
    <n v="4"/>
    <n v="188"/>
    <n v="347424"/>
    <n v="27793.920000000002"/>
    <n v="319630.08000000002"/>
    <n v="177.1"/>
    <n v="7392"/>
    <n v="312238.08000000002"/>
  </r>
  <r>
    <x v="2"/>
    <x v="1"/>
    <x v="4"/>
    <s v="CUST_ID_066"/>
    <s v="PROD_ID_005"/>
    <x v="66"/>
    <s v="Medium"/>
    <d v="2020-01-26T00:00:00"/>
    <x v="1"/>
    <x v="1"/>
    <x v="0"/>
    <n v="1634"/>
    <n v="4"/>
    <n v="525"/>
    <n v="857850"/>
    <n v="68628"/>
    <n v="789222"/>
    <n v="438.56400000000002"/>
    <n v="6536"/>
    <n v="782686"/>
  </r>
  <r>
    <x v="2"/>
    <x v="5"/>
    <x v="0"/>
    <s v="CUST_ID_043"/>
    <s v="PROD_ID_001"/>
    <x v="19"/>
    <s v="Medium"/>
    <d v="2020-11-27T00:00:00"/>
    <x v="4"/>
    <x v="2"/>
    <x v="0"/>
    <n v="850"/>
    <n v="6"/>
    <n v="30"/>
    <n v="25500"/>
    <n v="2040"/>
    <n v="23460"/>
    <n v="13.027200000000001"/>
    <n v="5100"/>
    <n v="18360"/>
  </r>
  <r>
    <x v="2"/>
    <x v="4"/>
    <x v="1"/>
    <s v="CUST_ID_072"/>
    <s v="PROD_ID_002"/>
    <x v="42"/>
    <s v="Medium"/>
    <d v="2020-09-28T00:00:00"/>
    <x v="0"/>
    <x v="0"/>
    <x v="0"/>
    <n v="1314"/>
    <n v="12"/>
    <n v="11"/>
    <n v="14454"/>
    <n v="1156.32"/>
    <n v="13297.68"/>
    <n v="7.0518000000000001"/>
    <n v="15768"/>
    <n v="-2470.3199999999997"/>
  </r>
  <r>
    <x v="2"/>
    <x v="4"/>
    <x v="1"/>
    <s v="CUST_ID_072"/>
    <s v="PROD_ID_002"/>
    <x v="42"/>
    <s v="Medium"/>
    <d v="2020-03-04T00:00:00"/>
    <x v="9"/>
    <x v="1"/>
    <x v="0"/>
    <n v="1639"/>
    <n v="12"/>
    <n v="30"/>
    <n v="49170"/>
    <n v="3933.6"/>
    <n v="45236.4"/>
    <n v="25.134400000000003"/>
    <n v="19668"/>
    <n v="25568.400000000001"/>
  </r>
  <r>
    <x v="3"/>
    <x v="5"/>
    <x v="1"/>
    <s v="CUST_ID_003"/>
    <s v="PROD_ID_002"/>
    <x v="80"/>
    <s v="Medium"/>
    <d v="2020-07-27T00:00:00"/>
    <x v="8"/>
    <x v="0"/>
    <x v="0"/>
    <n v="2952"/>
    <n v="12"/>
    <n v="450"/>
    <n v="1328400"/>
    <n v="106272"/>
    <n v="1222128"/>
    <n v="678.96"/>
    <n v="35424"/>
    <n v="1186704"/>
  </r>
  <r>
    <x v="2"/>
    <x v="5"/>
    <x v="1"/>
    <s v="CUST_ID_027"/>
    <s v="PROD_ID_002"/>
    <x v="58"/>
    <s v="Medium"/>
    <d v="2020-03-21T00:00:00"/>
    <x v="9"/>
    <x v="1"/>
    <x v="0"/>
    <n v="814"/>
    <n v="12"/>
    <n v="11"/>
    <n v="8954"/>
    <n v="716.32"/>
    <n v="8237.68"/>
    <n v="4.36632"/>
    <n v="9768"/>
    <n v="-1530.3199999999997"/>
  </r>
  <r>
    <x v="2"/>
    <x v="4"/>
    <x v="1"/>
    <s v="CUST_ID_072"/>
    <s v="PROD_ID_002"/>
    <x v="42"/>
    <s v="Medium"/>
    <d v="2020-11-06T00:00:00"/>
    <x v="4"/>
    <x v="2"/>
    <x v="0"/>
    <n v="1918"/>
    <n v="12"/>
    <n v="11"/>
    <n v="21098"/>
    <n v="1687.8400000000001"/>
    <n v="19410.16"/>
    <n v="10.291120000000001"/>
    <n v="23016"/>
    <n v="-3605.84"/>
  </r>
  <r>
    <x v="2"/>
    <x v="4"/>
    <x v="1"/>
    <s v="CUST_ID_072"/>
    <s v="PROD_ID_002"/>
    <x v="42"/>
    <s v="Medium"/>
    <d v="2020-02-02T00:00:00"/>
    <x v="3"/>
    <x v="1"/>
    <x v="0"/>
    <n v="2321"/>
    <n v="12"/>
    <n v="30"/>
    <n v="69630"/>
    <n v="5570.4000000000005"/>
    <n v="64059.6"/>
    <n v="35.585599999999999"/>
    <n v="27852"/>
    <n v="36207.599999999999"/>
  </r>
  <r>
    <x v="2"/>
    <x v="4"/>
    <x v="1"/>
    <s v="CUST_ID_040"/>
    <s v="PROD_ID_002"/>
    <x v="18"/>
    <s v="Medium"/>
    <d v="2020-01-12T00:00:00"/>
    <x v="1"/>
    <x v="1"/>
    <x v="0"/>
    <n v="3592"/>
    <n v="12"/>
    <n v="30"/>
    <n v="107760"/>
    <n v="8620.7999999999993"/>
    <n v="99139.199999999997"/>
    <n v="55.071199999999997"/>
    <n v="43104"/>
    <n v="56035.199999999997"/>
  </r>
  <r>
    <x v="4"/>
    <x v="6"/>
    <x v="2"/>
    <s v="CUST_ID_133"/>
    <s v="PROD_ID_003"/>
    <x v="54"/>
    <s v="Medium"/>
    <d v="2020-05-04T00:00:00"/>
    <x v="7"/>
    <x v="3"/>
    <x v="0"/>
    <n v="718"/>
    <n v="148"/>
    <n v="18"/>
    <n v="12924"/>
    <n v="1033.92"/>
    <n v="11890.08"/>
    <n v="6.6019199999999998"/>
    <n v="106264"/>
    <n v="-94373.92"/>
  </r>
  <r>
    <x v="2"/>
    <x v="2"/>
    <x v="2"/>
    <s v="CUST_ID_028"/>
    <s v="PROD_ID_003"/>
    <x v="86"/>
    <s v="Medium"/>
    <d v="2020-07-05T00:00:00"/>
    <x v="8"/>
    <x v="0"/>
    <x v="0"/>
    <n v="2806"/>
    <n v="148"/>
    <n v="11"/>
    <n v="30866"/>
    <n v="2469.2800000000002"/>
    <n v="28396.720000000001"/>
    <n v="15.056719999999999"/>
    <n v="415288"/>
    <n v="-386891.28"/>
  </r>
  <r>
    <x v="3"/>
    <x v="0"/>
    <x v="2"/>
    <s v="CUST_ID_097"/>
    <s v="PROD_ID_003"/>
    <x v="87"/>
    <s v="Medium"/>
    <d v="2020-08-11T00:00:00"/>
    <x v="2"/>
    <x v="0"/>
    <x v="0"/>
    <n v="762"/>
    <n v="148"/>
    <n v="450"/>
    <n v="342900"/>
    <n v="27432"/>
    <n v="315468"/>
    <n v="175.26"/>
    <n v="112776"/>
    <n v="202692"/>
  </r>
  <r>
    <x v="2"/>
    <x v="3"/>
    <x v="5"/>
    <s v="CUST_ID_047"/>
    <s v="PROD_ID_006"/>
    <x v="22"/>
    <s v="Medium"/>
    <d v="2020-04-19T00:00:00"/>
    <x v="10"/>
    <x v="3"/>
    <x v="0"/>
    <n v="850"/>
    <n v="320"/>
    <n v="30"/>
    <n v="25500"/>
    <n v="2040"/>
    <n v="23460"/>
    <n v="13.027200000000001"/>
    <n v="272000"/>
    <n v="-248540"/>
  </r>
  <r>
    <x v="2"/>
    <x v="5"/>
    <x v="0"/>
    <s v="CUST_ID_059"/>
    <s v="PROD_ID_001"/>
    <x v="74"/>
    <s v="Medium"/>
    <d v="2020-09-01T00:00:00"/>
    <x v="0"/>
    <x v="0"/>
    <x v="0"/>
    <n v="1999"/>
    <n v="6"/>
    <n v="525"/>
    <n v="1049475"/>
    <n v="94452.75"/>
    <n v="955022.25"/>
    <n v="530.62099999999998"/>
    <n v="11994"/>
    <n v="943028.25"/>
  </r>
  <r>
    <x v="4"/>
    <x v="7"/>
    <x v="0"/>
    <s v="CUST_ID_110"/>
    <s v="PROD_ID_001"/>
    <x v="25"/>
    <s v="Medium"/>
    <d v="2020-06-21T00:00:00"/>
    <x v="11"/>
    <x v="3"/>
    <x v="0"/>
    <n v="2785"/>
    <n v="6"/>
    <n v="18"/>
    <n v="50130"/>
    <n v="4511.7"/>
    <n v="45618.3"/>
    <n v="25.345320000000001"/>
    <n v="16710"/>
    <n v="28908.300000000003"/>
  </r>
  <r>
    <x v="0"/>
    <x v="6"/>
    <x v="0"/>
    <s v="CUST_ID_013"/>
    <s v="PROD_ID_001"/>
    <x v="7"/>
    <s v="Medium"/>
    <d v="2020-10-24T00:00:00"/>
    <x v="6"/>
    <x v="2"/>
    <x v="0"/>
    <n v="3356"/>
    <n v="6"/>
    <n v="188"/>
    <n v="630928"/>
    <n v="56783.519999999997"/>
    <n v="574144.48"/>
    <n v="318.15875"/>
    <n v="20136"/>
    <n v="554008.48"/>
  </r>
  <r>
    <x v="3"/>
    <x v="5"/>
    <x v="1"/>
    <s v="CUST_ID_003"/>
    <s v="PROD_ID_002"/>
    <x v="80"/>
    <s v="Medium"/>
    <d v="2020-07-29T00:00:00"/>
    <x v="8"/>
    <x v="0"/>
    <x v="0"/>
    <n v="3078"/>
    <n v="12"/>
    <n v="450"/>
    <n v="1385100"/>
    <n v="124659"/>
    <n v="1260441"/>
    <n v="700.245"/>
    <n v="36936"/>
    <n v="1223505"/>
  </r>
  <r>
    <x v="1"/>
    <x v="1"/>
    <x v="1"/>
    <s v="CUST_ID_026"/>
    <s v="PROD_ID_002"/>
    <x v="13"/>
    <s v="Medium"/>
    <d v="2020-10-28T00:00:00"/>
    <x v="6"/>
    <x v="2"/>
    <x v="0"/>
    <n v="4410"/>
    <n v="12"/>
    <n v="23"/>
    <n v="101430"/>
    <n v="9128.6999999999989"/>
    <n v="92301.3"/>
    <n v="50.16375"/>
    <n v="52920"/>
    <n v="39381.300000000003"/>
  </r>
  <r>
    <x v="3"/>
    <x v="7"/>
    <x v="1"/>
    <s v="CUST_ID_070"/>
    <s v="PROD_ID_002"/>
    <x v="72"/>
    <s v="Medium"/>
    <d v="2020-07-01T00:00:00"/>
    <x v="8"/>
    <x v="0"/>
    <x v="0"/>
    <n v="1313"/>
    <n v="12"/>
    <n v="450"/>
    <n v="590850"/>
    <n v="53176.5"/>
    <n v="537673.5"/>
    <n v="298.66199999999998"/>
    <n v="15756"/>
    <n v="521917.5"/>
  </r>
  <r>
    <x v="1"/>
    <x v="1"/>
    <x v="1"/>
    <s v="CUST_ID_002"/>
    <s v="PROD_ID_002"/>
    <x v="1"/>
    <s v="Medium"/>
    <d v="2020-10-21T00:00:00"/>
    <x v="6"/>
    <x v="2"/>
    <x v="0"/>
    <n v="1472"/>
    <n v="12"/>
    <n v="23"/>
    <n v="33856"/>
    <n v="3047.04"/>
    <n v="30808.959999999999"/>
    <n v="16.748549999999998"/>
    <n v="17664"/>
    <n v="13144.96"/>
  </r>
  <r>
    <x v="3"/>
    <x v="0"/>
    <x v="1"/>
    <s v="CUST_ID_121"/>
    <s v="PROD_ID_002"/>
    <x v="70"/>
    <s v="Medium"/>
    <d v="2020-06-04T00:00:00"/>
    <x v="11"/>
    <x v="3"/>
    <x v="0"/>
    <n v="1589"/>
    <n v="12"/>
    <n v="450"/>
    <n v="715050"/>
    <n v="64354.5"/>
    <n v="650695.5"/>
    <n v="361.452"/>
    <n v="19068"/>
    <n v="631627.5"/>
  </r>
  <r>
    <x v="0"/>
    <x v="5"/>
    <x v="1"/>
    <s v="CUST_ID_115"/>
    <s v="PROD_ID_002"/>
    <x v="48"/>
    <s v="Medium"/>
    <d v="2020-07-26T00:00:00"/>
    <x v="8"/>
    <x v="0"/>
    <x v="0"/>
    <n v="3356"/>
    <n v="12"/>
    <n v="188"/>
    <n v="630928"/>
    <n v="56783.519999999997"/>
    <n v="574144.48"/>
    <n v="318.15875"/>
    <n v="40272"/>
    <n v="533872.48"/>
  </r>
  <r>
    <x v="2"/>
    <x v="2"/>
    <x v="2"/>
    <s v="CUST_ID_028"/>
    <s v="PROD_ID_003"/>
    <x v="86"/>
    <s v="Medium"/>
    <d v="2020-02-21T00:00:00"/>
    <x v="3"/>
    <x v="1"/>
    <x v="0"/>
    <n v="1568"/>
    <n v="148"/>
    <n v="525"/>
    <n v="823200"/>
    <n v="74088"/>
    <n v="749112"/>
    <n v="416.27949999999998"/>
    <n v="232064"/>
    <n v="517048"/>
  </r>
  <r>
    <x v="0"/>
    <x v="3"/>
    <x v="2"/>
    <s v="CUST_ID_007"/>
    <s v="PROD_ID_003"/>
    <x v="3"/>
    <s v="Medium"/>
    <d v="2020-11-24T00:00:00"/>
    <x v="4"/>
    <x v="2"/>
    <x v="0"/>
    <n v="680"/>
    <n v="148"/>
    <n v="188"/>
    <n v="127840"/>
    <n v="11505.6"/>
    <n v="116334.39999999999"/>
    <n v="64.496250000000003"/>
    <n v="100640"/>
    <n v="15694.399999999994"/>
  </r>
  <r>
    <x v="0"/>
    <x v="7"/>
    <x v="2"/>
    <s v="CUST_ID_030"/>
    <s v="PROD_ID_003"/>
    <x v="14"/>
    <s v="Medium"/>
    <d v="2020-01-22T00:00:00"/>
    <x v="1"/>
    <x v="1"/>
    <x v="0"/>
    <n v="2532"/>
    <n v="148"/>
    <n v="188"/>
    <n v="476016"/>
    <n v="42841.439999999995"/>
    <n v="433174.56"/>
    <n v="240.01249999999999"/>
    <n v="374736"/>
    <n v="58438.559999999998"/>
  </r>
  <r>
    <x v="4"/>
    <x v="5"/>
    <x v="3"/>
    <s v="CUST_ID_147"/>
    <s v="PROD_ID_004"/>
    <x v="69"/>
    <s v="Medium"/>
    <d v="2020-11-22T00:00:00"/>
    <x v="4"/>
    <x v="2"/>
    <x v="0"/>
    <n v="2347"/>
    <n v="308"/>
    <n v="18"/>
    <n v="42246"/>
    <n v="3802.14"/>
    <n v="38443.86"/>
    <n v="21.35952"/>
    <n v="722876"/>
    <n v="-684432.14"/>
  </r>
  <r>
    <x v="4"/>
    <x v="5"/>
    <x v="3"/>
    <s v="CUST_ID_067"/>
    <s v="PROD_ID_004"/>
    <x v="38"/>
    <s v="Medium"/>
    <d v="2020-11-07T00:00:00"/>
    <x v="4"/>
    <x v="2"/>
    <x v="0"/>
    <n v="1056"/>
    <n v="308"/>
    <n v="18"/>
    <n v="19008"/>
    <n v="1710.72"/>
    <n v="17297.28"/>
    <n v="9.6096000000000004"/>
    <n v="325248"/>
    <n v="-307950.71999999997"/>
  </r>
  <r>
    <x v="3"/>
    <x v="5"/>
    <x v="3"/>
    <s v="CUST_ID_075"/>
    <s v="PROD_ID_004"/>
    <x v="69"/>
    <s v="Medium"/>
    <d v="2020-01-24T00:00:00"/>
    <x v="1"/>
    <x v="1"/>
    <x v="0"/>
    <n v="2240"/>
    <n v="308"/>
    <n v="450"/>
    <n v="1008000"/>
    <n v="90720"/>
    <n v="917280"/>
    <n v="509.69099999999997"/>
    <n v="689920"/>
    <n v="227360"/>
  </r>
  <r>
    <x v="2"/>
    <x v="3"/>
    <x v="5"/>
    <s v="CUST_ID_047"/>
    <s v="PROD_ID_006"/>
    <x v="22"/>
    <s v="Medium"/>
    <d v="2020-04-06T00:00:00"/>
    <x v="10"/>
    <x v="3"/>
    <x v="0"/>
    <n v="1523"/>
    <n v="320"/>
    <n v="525"/>
    <n v="799575"/>
    <n v="71961.75"/>
    <n v="727613.25"/>
    <n v="404.17649999999998"/>
    <n v="487360"/>
    <n v="240253.25"/>
  </r>
  <r>
    <x v="2"/>
    <x v="6"/>
    <x v="5"/>
    <s v="CUST_ID_093"/>
    <s v="PROD_ID_006"/>
    <x v="31"/>
    <s v="Medium"/>
    <d v="2020-04-18T00:00:00"/>
    <x v="10"/>
    <x v="3"/>
    <x v="0"/>
    <n v="2033"/>
    <n v="320"/>
    <n v="30"/>
    <n v="60990"/>
    <n v="5489.0999999999995"/>
    <n v="55500.9"/>
    <n v="30.8308"/>
    <n v="650560"/>
    <n v="-595059.1"/>
  </r>
  <r>
    <x v="2"/>
    <x v="4"/>
    <x v="4"/>
    <s v="CUST_ID_048"/>
    <s v="PROD_ID_005"/>
    <x v="53"/>
    <s v="Medium"/>
    <d v="2020-10-29T00:00:00"/>
    <x v="6"/>
    <x v="2"/>
    <x v="0"/>
    <n v="796"/>
    <n v="4"/>
    <n v="30"/>
    <n v="23880"/>
    <n v="2149.2000000000003"/>
    <n v="21730.799999999999"/>
    <n v="12.066600000000001"/>
    <n v="3184"/>
    <n v="18546.8"/>
  </r>
  <r>
    <x v="2"/>
    <x v="1"/>
    <x v="4"/>
    <s v="CUST_ID_042"/>
    <s v="PROD_ID_005"/>
    <x v="32"/>
    <s v="Medium"/>
    <d v="2020-09-13T00:00:00"/>
    <x v="0"/>
    <x v="0"/>
    <x v="0"/>
    <n v="983"/>
    <n v="4"/>
    <n v="11"/>
    <n v="10813"/>
    <n v="973.17000000000007"/>
    <n v="9839.83"/>
    <n v="5.2170299999999994"/>
    <n v="3932"/>
    <n v="5907.83"/>
  </r>
  <r>
    <x v="2"/>
    <x v="1"/>
    <x v="4"/>
    <s v="CUST_ID_066"/>
    <s v="PROD_ID_005"/>
    <x v="66"/>
    <s v="Medium"/>
    <d v="2020-10-26T00:00:00"/>
    <x v="6"/>
    <x v="2"/>
    <x v="0"/>
    <n v="625"/>
    <n v="4"/>
    <n v="11"/>
    <n v="6875"/>
    <n v="618.75000000000011"/>
    <n v="6256.25"/>
    <n v="3.3187699999999998"/>
    <n v="2500"/>
    <n v="3756.25"/>
  </r>
  <r>
    <x v="2"/>
    <x v="5"/>
    <x v="1"/>
    <s v="CUST_ID_027"/>
    <s v="PROD_ID_002"/>
    <x v="58"/>
    <s v="Medium"/>
    <d v="2020-01-06T00:00:00"/>
    <x v="1"/>
    <x v="1"/>
    <x v="0"/>
    <n v="1168"/>
    <n v="12"/>
    <n v="30"/>
    <n v="35040"/>
    <n v="3153.6000000000004"/>
    <n v="31886.400000000001"/>
    <n v="17.708599999999997"/>
    <n v="14016"/>
    <n v="17870.400000000001"/>
  </r>
  <r>
    <x v="2"/>
    <x v="4"/>
    <x v="1"/>
    <s v="CUST_ID_072"/>
    <s v="PROD_ID_002"/>
    <x v="42"/>
    <s v="Medium"/>
    <d v="2020-05-15T00:00:00"/>
    <x v="7"/>
    <x v="3"/>
    <x v="0"/>
    <n v="432"/>
    <n v="12"/>
    <n v="11"/>
    <n v="4752"/>
    <n v="427.68000000000006"/>
    <n v="4324.32"/>
    <n v="2.2931999999999997"/>
    <n v="5184"/>
    <n v="-859.68000000000029"/>
  </r>
  <r>
    <x v="4"/>
    <x v="5"/>
    <x v="2"/>
    <s v="CUST_ID_123"/>
    <s v="PROD_ID_003"/>
    <x v="69"/>
    <s v="Medium"/>
    <d v="2020-03-02T00:00:00"/>
    <x v="9"/>
    <x v="1"/>
    <x v="0"/>
    <n v="2360"/>
    <n v="148"/>
    <n v="18"/>
    <n v="42480"/>
    <n v="3823.2000000000003"/>
    <n v="38656.800000000003"/>
    <n v="21.47964"/>
    <n v="349280"/>
    <n v="-310623.2"/>
  </r>
  <r>
    <x v="1"/>
    <x v="5"/>
    <x v="2"/>
    <s v="CUST_ID_091"/>
    <s v="PROD_ID_003"/>
    <x v="48"/>
    <s v="Medium"/>
    <d v="2020-12-21T00:00:00"/>
    <x v="5"/>
    <x v="2"/>
    <x v="0"/>
    <n v="3154"/>
    <n v="148"/>
    <n v="23"/>
    <n v="72542"/>
    <n v="6528.7800000000007"/>
    <n v="66013.22"/>
    <n v="35.872199999999999"/>
    <n v="466792"/>
    <n v="-400778.78"/>
  </r>
  <r>
    <x v="1"/>
    <x v="3"/>
    <x v="5"/>
    <s v="CUST_ID_103"/>
    <s v="PROD_ID_006"/>
    <x v="56"/>
    <s v="Medium"/>
    <d v="2020-05-09T00:00:00"/>
    <x v="7"/>
    <x v="3"/>
    <x v="0"/>
    <n v="1957"/>
    <n v="320"/>
    <n v="23"/>
    <n v="45011"/>
    <n v="4050.9900000000007"/>
    <n v="40960.01"/>
    <n v="22.256324999999997"/>
    <n v="626240"/>
    <n v="-585279.99"/>
  </r>
  <r>
    <x v="2"/>
    <x v="5"/>
    <x v="0"/>
    <s v="CUST_ID_099"/>
    <s v="PROD_ID_001"/>
    <x v="69"/>
    <s v="High"/>
    <d v="2020-10-22T00:00:00"/>
    <x v="6"/>
    <x v="2"/>
    <x v="0"/>
    <n v="2794"/>
    <n v="6"/>
    <n v="11"/>
    <n v="30734"/>
    <n v="3073.3999999999996"/>
    <n v="27660.6"/>
    <n v="14.666399999999999"/>
    <n v="16764"/>
    <n v="10896.599999999999"/>
  </r>
  <r>
    <x v="0"/>
    <x v="0"/>
    <x v="4"/>
    <s v="CUST_ID_009"/>
    <s v="PROD_ID_005"/>
    <x v="88"/>
    <s v="High"/>
    <d v="2020-10-25T00:00:00"/>
    <x v="6"/>
    <x v="2"/>
    <x v="0"/>
    <n v="4135"/>
    <n v="4"/>
    <n v="188"/>
    <n v="777380"/>
    <n v="77738"/>
    <n v="699642"/>
    <n v="387.61874999999998"/>
    <n v="16540"/>
    <n v="683102"/>
  </r>
  <r>
    <x v="1"/>
    <x v="0"/>
    <x v="0"/>
    <s v="CUST_ID_145"/>
    <s v="PROD_ID_001"/>
    <x v="70"/>
    <s v="High"/>
    <d v="2020-04-23T00:00:00"/>
    <x v="10"/>
    <x v="3"/>
    <x v="0"/>
    <n v="2486"/>
    <n v="6"/>
    <n v="23"/>
    <n v="57178"/>
    <n v="5717.8"/>
    <n v="51460.2"/>
    <n v="27.972000000000001"/>
    <n v="14916"/>
    <n v="36544.199999999997"/>
  </r>
  <r>
    <x v="2"/>
    <x v="2"/>
    <x v="1"/>
    <s v="CUST_ID_052"/>
    <s v="PROD_ID_002"/>
    <x v="27"/>
    <s v="High"/>
    <d v="2020-01-16T00:00:00"/>
    <x v="1"/>
    <x v="1"/>
    <x v="0"/>
    <n v="2345"/>
    <n v="12"/>
    <n v="30"/>
    <n v="70350"/>
    <n v="7035"/>
    <n v="63315"/>
    <n v="35.171999999999997"/>
    <n v="28140"/>
    <n v="35175"/>
  </r>
  <r>
    <x v="1"/>
    <x v="4"/>
    <x v="2"/>
    <s v="CUST_ID_096"/>
    <s v="PROD_ID_003"/>
    <x v="89"/>
    <s v="High"/>
    <d v="2020-05-19T00:00:00"/>
    <x v="7"/>
    <x v="3"/>
    <x v="0"/>
    <n v="817"/>
    <n v="148"/>
    <n v="23"/>
    <n v="18791"/>
    <n v="1879.1000000000001"/>
    <n v="16911.900000000001"/>
    <n v="9.1935000000000002"/>
    <n v="120916"/>
    <n v="-104004.1"/>
  </r>
  <r>
    <x v="1"/>
    <x v="3"/>
    <x v="2"/>
    <s v="CUST_ID_135"/>
    <s v="PROD_ID_003"/>
    <x v="26"/>
    <s v="High"/>
    <d v="2020-12-07T00:00:00"/>
    <x v="5"/>
    <x v="2"/>
    <x v="0"/>
    <n v="948"/>
    <n v="148"/>
    <n v="23"/>
    <n v="21804"/>
    <n v="2180.4"/>
    <n v="19623.599999999999"/>
    <n v="10.664999999999999"/>
    <n v="140304"/>
    <n v="-120680.4"/>
  </r>
  <r>
    <x v="2"/>
    <x v="7"/>
    <x v="2"/>
    <s v="CUST_ID_054"/>
    <s v="PROD_ID_003"/>
    <x v="34"/>
    <s v="High"/>
    <d v="2020-06-14T00:00:00"/>
    <x v="11"/>
    <x v="3"/>
    <x v="0"/>
    <n v="767"/>
    <n v="148"/>
    <n v="525"/>
    <n v="402675"/>
    <n v="40267.5"/>
    <n v="362407.5"/>
    <n v="201.285"/>
    <n v="113516"/>
    <n v="248891.5"/>
  </r>
  <r>
    <x v="1"/>
    <x v="6"/>
    <x v="3"/>
    <s v="CUST_ID_045"/>
    <s v="PROD_ID_004"/>
    <x v="21"/>
    <s v="High"/>
    <d v="2020-08-30T00:00:00"/>
    <x v="2"/>
    <x v="0"/>
    <x v="0"/>
    <n v="769"/>
    <n v="308"/>
    <n v="23"/>
    <n v="17687"/>
    <n v="1768.7"/>
    <n v="15918.3"/>
    <n v="8.6534999999999993"/>
    <n v="236852"/>
    <n v="-220933.7"/>
  </r>
  <r>
    <x v="2"/>
    <x v="0"/>
    <x v="3"/>
    <s v="CUST_ID_033"/>
    <s v="PROD_ID_004"/>
    <x v="20"/>
    <s v="High"/>
    <d v="2020-09-04T00:00:00"/>
    <x v="0"/>
    <x v="0"/>
    <x v="0"/>
    <n v="3368"/>
    <n v="308"/>
    <n v="525"/>
    <n v="1768200"/>
    <n v="176820"/>
    <n v="1591380"/>
    <n v="884.20500000000004"/>
    <n v="1037344"/>
    <n v="554036"/>
  </r>
  <r>
    <x v="0"/>
    <x v="0"/>
    <x v="3"/>
    <s v="CUST_ID_105"/>
    <s v="PROD_ID_004"/>
    <x v="60"/>
    <s v="High"/>
    <d v="2020-08-18T00:00:00"/>
    <x v="2"/>
    <x v="0"/>
    <x v="0"/>
    <n v="3035"/>
    <n v="308"/>
    <n v="188"/>
    <n v="570580"/>
    <n v="57058"/>
    <n v="513522"/>
    <n v="284.51249999999999"/>
    <n v="934780"/>
    <n v="-421258"/>
  </r>
  <r>
    <x v="4"/>
    <x v="3"/>
    <x v="5"/>
    <s v="CUST_ID_095"/>
    <s v="PROD_ID_006"/>
    <x v="52"/>
    <s v="High"/>
    <d v="2020-11-26T00:00:00"/>
    <x v="4"/>
    <x v="2"/>
    <x v="0"/>
    <n v="4225"/>
    <n v="320"/>
    <n v="18"/>
    <n v="76050"/>
    <n v="7605"/>
    <n v="68445"/>
    <n v="38.021399999999993"/>
    <n v="1352000"/>
    <n v="-1283555"/>
  </r>
  <r>
    <x v="2"/>
    <x v="6"/>
    <x v="5"/>
    <s v="CUST_ID_093"/>
    <s v="PROD_ID_006"/>
    <x v="31"/>
    <s v="High"/>
    <d v="2020-04-18T00:00:00"/>
    <x v="10"/>
    <x v="3"/>
    <x v="0"/>
    <n v="2447"/>
    <n v="320"/>
    <n v="30"/>
    <n v="73410"/>
    <n v="7341"/>
    <n v="66069"/>
    <n v="36.701999999999998"/>
    <n v="783040"/>
    <n v="-716971"/>
  </r>
  <r>
    <x v="1"/>
    <x v="5"/>
    <x v="5"/>
    <s v="CUST_ID_019"/>
    <s v="PROD_ID_006"/>
    <x v="90"/>
    <s v="High"/>
    <d v="2020-11-24T00:00:00"/>
    <x v="4"/>
    <x v="2"/>
    <x v="0"/>
    <n v="2486"/>
    <n v="320"/>
    <n v="23"/>
    <n v="57178"/>
    <n v="5717.8"/>
    <n v="51460.2"/>
    <n v="27.972000000000001"/>
    <n v="795520"/>
    <n v="-744059.8"/>
  </r>
  <r>
    <x v="1"/>
    <x v="2"/>
    <x v="2"/>
    <s v="CUST_ID_140"/>
    <s v="PROD_ID_003"/>
    <x v="49"/>
    <s v="High"/>
    <d v="2020-06-08T00:00:00"/>
    <x v="11"/>
    <x v="3"/>
    <x v="0"/>
    <n v="461"/>
    <n v="148"/>
    <n v="23"/>
    <n v="10603"/>
    <n v="1166.33"/>
    <n v="9436.67"/>
    <n v="5.1263999999999994"/>
    <n v="68228"/>
    <n v="-58791.33"/>
  </r>
  <r>
    <x v="4"/>
    <x v="1"/>
    <x v="2"/>
    <s v="CUST_ID_114"/>
    <s v="PROD_ID_003"/>
    <x v="47"/>
    <s v="High"/>
    <d v="2020-11-28T00:00:00"/>
    <x v="4"/>
    <x v="2"/>
    <x v="0"/>
    <n v="566"/>
    <n v="148"/>
    <n v="18"/>
    <n v="10188"/>
    <n v="1120.6799999999998"/>
    <n v="9067.32"/>
    <n v="5.0409600000000001"/>
    <n v="83768"/>
    <n v="-74700.679999999993"/>
  </r>
  <r>
    <x v="1"/>
    <x v="7"/>
    <x v="5"/>
    <s v="CUST_ID_046"/>
    <s v="PROD_ID_006"/>
    <x v="51"/>
    <s v="High"/>
    <d v="2020-04-15T00:00:00"/>
    <x v="10"/>
    <x v="3"/>
    <x v="0"/>
    <n v="3839"/>
    <n v="320"/>
    <n v="23"/>
    <n v="88297"/>
    <n v="9712.6699999999983"/>
    <n v="78584.33"/>
    <n v="42.713324999999998"/>
    <n v="1228480"/>
    <n v="-1149895.67"/>
  </r>
  <r>
    <x v="4"/>
    <x v="1"/>
    <x v="5"/>
    <s v="CUST_ID_098"/>
    <s v="PROD_ID_006"/>
    <x v="41"/>
    <s v="High"/>
    <d v="2020-10-13T00:00:00"/>
    <x v="6"/>
    <x v="2"/>
    <x v="0"/>
    <n v="566"/>
    <n v="320"/>
    <n v="18"/>
    <n v="10188"/>
    <n v="1120.6799999999998"/>
    <n v="9067.32"/>
    <n v="5.0409600000000001"/>
    <n v="181120"/>
    <n v="-172052.68"/>
  </r>
  <r>
    <x v="4"/>
    <x v="2"/>
    <x v="4"/>
    <s v="CUST_ID_036"/>
    <s v="PROD_ID_005"/>
    <x v="67"/>
    <s v="High"/>
    <d v="2020-10-04T00:00:00"/>
    <x v="6"/>
    <x v="2"/>
    <x v="0"/>
    <n v="2324"/>
    <n v="4"/>
    <n v="18"/>
    <n v="41832"/>
    <n v="4601.5200000000004"/>
    <n v="37230.479999999996"/>
    <n v="20.687159999999999"/>
    <n v="9296"/>
    <n v="27934.479999999996"/>
  </r>
  <r>
    <x v="2"/>
    <x v="4"/>
    <x v="4"/>
    <s v="CUST_ID_048"/>
    <s v="PROD_ID_005"/>
    <x v="53"/>
    <s v="High"/>
    <d v="2020-05-23T00:00:00"/>
    <x v="7"/>
    <x v="3"/>
    <x v="0"/>
    <n v="950"/>
    <n v="4"/>
    <n v="525"/>
    <n v="498750"/>
    <n v="54862.5"/>
    <n v="443887.5"/>
    <n v="246.708"/>
    <n v="3800"/>
    <n v="440087.5"/>
  </r>
  <r>
    <x v="3"/>
    <x v="7"/>
    <x v="1"/>
    <s v="CUST_ID_070"/>
    <s v="PROD_ID_002"/>
    <x v="72"/>
    <s v="High"/>
    <d v="2020-12-31T00:00:00"/>
    <x v="5"/>
    <x v="2"/>
    <x v="0"/>
    <n v="1048"/>
    <n v="12"/>
    <n v="450"/>
    <n v="471600"/>
    <n v="51876"/>
    <n v="419724"/>
    <n v="233.09100000000001"/>
    <n v="12576"/>
    <n v="407148"/>
  </r>
  <r>
    <x v="2"/>
    <x v="4"/>
    <x v="1"/>
    <s v="CUST_ID_040"/>
    <s v="PROD_ID_002"/>
    <x v="18"/>
    <s v="High"/>
    <d v="2020-12-27T00:00:00"/>
    <x v="5"/>
    <x v="2"/>
    <x v="0"/>
    <n v="1346"/>
    <n v="12"/>
    <n v="30"/>
    <n v="40380"/>
    <n v="4441.8"/>
    <n v="35938.199999999997"/>
    <n v="19.971599999999999"/>
    <n v="16152"/>
    <n v="19786.199999999997"/>
  </r>
  <r>
    <x v="2"/>
    <x v="2"/>
    <x v="1"/>
    <s v="CUST_ID_004"/>
    <s v="PROD_ID_002"/>
    <x v="2"/>
    <s v="High"/>
    <d v="2020-12-03T00:00:00"/>
    <x v="5"/>
    <x v="2"/>
    <x v="0"/>
    <n v="2525"/>
    <n v="12"/>
    <n v="525"/>
    <n v="1325625"/>
    <n v="145818.75"/>
    <n v="1179806.25"/>
    <n v="655.55174999999997"/>
    <n v="30300"/>
    <n v="1149506.25"/>
  </r>
  <r>
    <x v="4"/>
    <x v="0"/>
    <x v="1"/>
    <s v="CUST_ID_025"/>
    <s v="PROD_ID_002"/>
    <x v="12"/>
    <s v="High"/>
    <d v="2020-12-01T00:00:00"/>
    <x v="5"/>
    <x v="2"/>
    <x v="0"/>
    <n v="2911"/>
    <n v="12"/>
    <n v="18"/>
    <n v="52398"/>
    <n v="5763.78"/>
    <n v="46634.22"/>
    <n v="25.904340000000005"/>
    <n v="34932"/>
    <n v="11702.220000000001"/>
  </r>
  <r>
    <x v="2"/>
    <x v="2"/>
    <x v="1"/>
    <s v="CUST_ID_004"/>
    <s v="PROD_ID_002"/>
    <x v="2"/>
    <s v="High"/>
    <d v="2020-03-12T00:00:00"/>
    <x v="9"/>
    <x v="1"/>
    <x v="0"/>
    <n v="2873"/>
    <n v="12"/>
    <n v="30"/>
    <n v="86190"/>
    <n v="9480.9"/>
    <n v="76709.100000000006"/>
    <n v="42.613199999999999"/>
    <n v="34476"/>
    <n v="42233.100000000006"/>
  </r>
  <r>
    <x v="0"/>
    <x v="5"/>
    <x v="1"/>
    <s v="CUST_ID_051"/>
    <s v="PROD_ID_002"/>
    <x v="26"/>
    <s v="High"/>
    <d v="2020-10-05T00:00:00"/>
    <x v="6"/>
    <x v="2"/>
    <x v="0"/>
    <n v="2929"/>
    <n v="12"/>
    <n v="188"/>
    <n v="550652"/>
    <n v="60571.72"/>
    <n v="490080.28"/>
    <n v="271.56124999999997"/>
    <n v="35148"/>
    <n v="454932.28"/>
  </r>
  <r>
    <x v="3"/>
    <x v="7"/>
    <x v="1"/>
    <s v="CUST_ID_070"/>
    <s v="PROD_ID_002"/>
    <x v="72"/>
    <s v="High"/>
    <d v="2020-10-17T00:00:00"/>
    <x v="6"/>
    <x v="2"/>
    <x v="0"/>
    <n v="1639"/>
    <n v="12"/>
    <n v="450"/>
    <n v="737550"/>
    <n v="81130.5"/>
    <n v="656419.5"/>
    <n v="364.72199999999998"/>
    <n v="19668"/>
    <n v="636751.5"/>
  </r>
  <r>
    <x v="2"/>
    <x v="4"/>
    <x v="2"/>
    <s v="CUST_ID_016"/>
    <s v="PROD_ID_003"/>
    <x v="77"/>
    <s v="High"/>
    <d v="2020-04-08T00:00:00"/>
    <x v="10"/>
    <x v="3"/>
    <x v="0"/>
    <n v="2170"/>
    <n v="148"/>
    <n v="11"/>
    <n v="23870"/>
    <n v="2625.7"/>
    <n v="21244.3"/>
    <n v="11.26384"/>
    <n v="321160"/>
    <n v="-299915.7"/>
  </r>
  <r>
    <x v="4"/>
    <x v="0"/>
    <x v="3"/>
    <s v="CUST_ID_081"/>
    <s v="PROD_ID_004"/>
    <x v="44"/>
    <s v="High"/>
    <d v="2020-10-03T00:00:00"/>
    <x v="6"/>
    <x v="2"/>
    <x v="0"/>
    <n v="2081"/>
    <n v="308"/>
    <n v="18"/>
    <n v="37458"/>
    <n v="4120.38"/>
    <n v="33337.620000000003"/>
    <n v="18.519119999999997"/>
    <n v="640948"/>
    <n v="-607610.38"/>
  </r>
  <r>
    <x v="0"/>
    <x v="6"/>
    <x v="3"/>
    <s v="CUST_ID_125"/>
    <s v="PROD_ID_004"/>
    <x v="28"/>
    <s v="High"/>
    <d v="2020-06-04T00:00:00"/>
    <x v="11"/>
    <x v="3"/>
    <x v="0"/>
    <n v="665"/>
    <n v="308"/>
    <n v="188"/>
    <n v="125020"/>
    <n v="13752.2"/>
    <n v="111267.8"/>
    <n v="61.6325"/>
    <n v="204820"/>
    <n v="-93552.2"/>
  </r>
  <r>
    <x v="0"/>
    <x v="0"/>
    <x v="5"/>
    <s v="CUST_ID_073"/>
    <s v="PROD_ID_006"/>
    <x v="70"/>
    <s v="High"/>
    <d v="2020-11-07T00:00:00"/>
    <x v="4"/>
    <x v="2"/>
    <x v="0"/>
    <n v="3798"/>
    <n v="320"/>
    <n v="188"/>
    <n v="714024"/>
    <n v="78542.64"/>
    <n v="635481.36"/>
    <n v="352.10624999999999"/>
    <n v="1215360"/>
    <n v="-579878.64"/>
  </r>
  <r>
    <x v="0"/>
    <x v="1"/>
    <x v="5"/>
    <s v="CUST_ID_138"/>
    <s v="PROD_ID_006"/>
    <x v="47"/>
    <s v="High"/>
    <d v="2020-07-21T00:00:00"/>
    <x v="8"/>
    <x v="0"/>
    <x v="0"/>
    <n v="1720"/>
    <n v="320"/>
    <n v="188"/>
    <n v="323360"/>
    <n v="35569.599999999999"/>
    <n v="287790.40000000002"/>
    <n v="159.42124999999999"/>
    <n v="550400"/>
    <n v="-262609.59999999998"/>
  </r>
  <r>
    <x v="1"/>
    <x v="4"/>
    <x v="5"/>
    <s v="CUST_ID_104"/>
    <s v="PROD_ID_006"/>
    <x v="57"/>
    <s v="High"/>
    <d v="2020-10-27T00:00:00"/>
    <x v="6"/>
    <x v="2"/>
    <x v="0"/>
    <n v="2588"/>
    <n v="320"/>
    <n v="23"/>
    <n v="59524"/>
    <n v="6547.64"/>
    <n v="52976.36"/>
    <n v="28.795950000000001"/>
    <n v="828160"/>
    <n v="-775183.64"/>
  </r>
  <r>
    <x v="0"/>
    <x v="2"/>
    <x v="4"/>
    <s v="CUST_ID_100"/>
    <s v="PROD_ID_005"/>
    <x v="85"/>
    <s v="High"/>
    <d v="2020-10-18T00:00:00"/>
    <x v="6"/>
    <x v="2"/>
    <x v="0"/>
    <n v="2587"/>
    <n v="4"/>
    <n v="188"/>
    <n v="486356"/>
    <n v="58362.720000000001"/>
    <n v="427993.28"/>
    <n v="237.16"/>
    <n v="10348"/>
    <n v="417645.28"/>
  </r>
  <r>
    <x v="1"/>
    <x v="1"/>
    <x v="4"/>
    <s v="CUST_ID_090"/>
    <s v="PROD_ID_005"/>
    <x v="47"/>
    <s v="High"/>
    <d v="2020-06-16T00:00:00"/>
    <x v="11"/>
    <x v="3"/>
    <x v="0"/>
    <n v="3227"/>
    <n v="4"/>
    <n v="23"/>
    <n v="74221"/>
    <n v="8906.52"/>
    <n v="65314.479999999996"/>
    <n v="35.494800000000005"/>
    <n v="12908"/>
    <n v="52406.479999999996"/>
  </r>
  <r>
    <x v="2"/>
    <x v="0"/>
    <x v="0"/>
    <s v="CUST_ID_049"/>
    <s v="PROD_ID_001"/>
    <x v="24"/>
    <s v="High"/>
    <d v="2020-12-02T00:00:00"/>
    <x v="5"/>
    <x v="2"/>
    <x v="0"/>
    <n v="2904"/>
    <n v="6"/>
    <n v="11"/>
    <n v="31944"/>
    <n v="3833.2799999999997"/>
    <n v="28110.720000000001"/>
    <n v="14.907200000000001"/>
    <n v="17424"/>
    <n v="10686.720000000001"/>
  </r>
  <r>
    <x v="2"/>
    <x v="4"/>
    <x v="1"/>
    <s v="CUST_ID_040"/>
    <s v="PROD_ID_002"/>
    <x v="18"/>
    <s v="High"/>
    <d v="2020-06-26T00:00:00"/>
    <x v="11"/>
    <x v="3"/>
    <x v="0"/>
    <n v="1063"/>
    <n v="12"/>
    <n v="525"/>
    <n v="558075"/>
    <n v="66969"/>
    <n v="491106"/>
    <n v="272.88799999999998"/>
    <n v="12756"/>
    <n v="478350"/>
  </r>
  <r>
    <x v="0"/>
    <x v="4"/>
    <x v="1"/>
    <s v="CUST_ID_024"/>
    <s v="PROD_ID_002"/>
    <x v="11"/>
    <s v="High"/>
    <d v="2020-06-24T00:00:00"/>
    <x v="11"/>
    <x v="3"/>
    <x v="0"/>
    <n v="2587"/>
    <n v="12"/>
    <n v="188"/>
    <n v="486356"/>
    <n v="58362.720000000001"/>
    <n v="427993.28"/>
    <n v="237.16"/>
    <n v="31044"/>
    <n v="396949.28"/>
  </r>
  <r>
    <x v="2"/>
    <x v="2"/>
    <x v="1"/>
    <s v="CUST_ID_052"/>
    <s v="PROD_ID_002"/>
    <x v="27"/>
    <s v="High"/>
    <d v="2020-07-12T00:00:00"/>
    <x v="8"/>
    <x v="0"/>
    <x v="0"/>
    <n v="1913"/>
    <n v="12"/>
    <n v="525"/>
    <n v="1004325"/>
    <n v="120519"/>
    <n v="883806"/>
    <n v="490.952"/>
    <n v="22956"/>
    <n v="860850"/>
  </r>
  <r>
    <x v="3"/>
    <x v="6"/>
    <x v="1"/>
    <s v="CUST_ID_069"/>
    <s v="PROD_ID_002"/>
    <x v="31"/>
    <s v="High"/>
    <d v="2020-10-25T00:00:00"/>
    <x v="6"/>
    <x v="2"/>
    <x v="0"/>
    <n v="1631"/>
    <n v="12"/>
    <n v="450"/>
    <n v="733950"/>
    <n v="88074"/>
    <n v="645876"/>
    <n v="358.77600000000001"/>
    <n v="19572"/>
    <n v="626304"/>
  </r>
  <r>
    <x v="1"/>
    <x v="3"/>
    <x v="3"/>
    <s v="CUST_ID_087"/>
    <s v="PROD_ID_004"/>
    <x v="26"/>
    <s v="High"/>
    <d v="2020-12-22T00:00:00"/>
    <x v="5"/>
    <x v="2"/>
    <x v="0"/>
    <n v="4649"/>
    <n v="308"/>
    <n v="23"/>
    <n v="106927"/>
    <n v="12831.24"/>
    <n v="94095.76"/>
    <n v="51.143399999999993"/>
    <n v="1431892"/>
    <n v="-1337796.24"/>
  </r>
  <r>
    <x v="2"/>
    <x v="1"/>
    <x v="3"/>
    <s v="CUST_ID_034"/>
    <s v="PROD_ID_004"/>
    <x v="76"/>
    <s v="High"/>
    <d v="2020-04-17T00:00:00"/>
    <x v="10"/>
    <x v="3"/>
    <x v="0"/>
    <n v="1480"/>
    <n v="308"/>
    <n v="30"/>
    <n v="44400"/>
    <n v="5328"/>
    <n v="39072"/>
    <n v="21.700800000000001"/>
    <n v="455840"/>
    <n v="-416768"/>
  </r>
  <r>
    <x v="2"/>
    <x v="4"/>
    <x v="5"/>
    <s v="CUST_ID_064"/>
    <s v="PROD_ID_006"/>
    <x v="73"/>
    <s v="High"/>
    <d v="2020-01-27T00:00:00"/>
    <x v="1"/>
    <x v="1"/>
    <x v="0"/>
    <n v="324"/>
    <n v="320"/>
    <n v="525"/>
    <n v="170100"/>
    <n v="20412"/>
    <n v="149688"/>
    <n v="83.16"/>
    <n v="103680"/>
    <n v="46008"/>
  </r>
  <r>
    <x v="4"/>
    <x v="4"/>
    <x v="0"/>
    <s v="CUST_ID_120"/>
    <s v="PROD_ID_001"/>
    <x v="42"/>
    <s v="High"/>
    <d v="2020-07-12T00:00:00"/>
    <x v="8"/>
    <x v="0"/>
    <x v="0"/>
    <n v="3193"/>
    <n v="6"/>
    <n v="18"/>
    <n v="57474"/>
    <n v="6896.88"/>
    <n v="50577.120000000003"/>
    <n v="28.100159999999999"/>
    <n v="19158"/>
    <n v="31419.120000000003"/>
  </r>
  <r>
    <x v="2"/>
    <x v="4"/>
    <x v="1"/>
    <s v="CUST_ID_072"/>
    <s v="PROD_ID_002"/>
    <x v="42"/>
    <s v="High"/>
    <d v="2020-05-19T00:00:00"/>
    <x v="7"/>
    <x v="3"/>
    <x v="0"/>
    <n v="1837"/>
    <n v="12"/>
    <n v="30"/>
    <n v="55110"/>
    <n v="6613.2000000000007"/>
    <n v="48496.800000000003"/>
    <n v="26.945599999999999"/>
    <n v="22044"/>
    <n v="26452.800000000003"/>
  </r>
  <r>
    <x v="2"/>
    <x v="4"/>
    <x v="3"/>
    <s v="CUST_ID_008"/>
    <s v="PROD_ID_004"/>
    <x v="4"/>
    <s v="High"/>
    <d v="2020-03-23T00:00:00"/>
    <x v="9"/>
    <x v="1"/>
    <x v="0"/>
    <n v="1789"/>
    <n v="308"/>
    <n v="11"/>
    <n v="19679"/>
    <n v="2361.48"/>
    <n v="17317.52"/>
    <n v="9.1845599999999994"/>
    <n v="551012"/>
    <n v="-533694.48"/>
  </r>
  <r>
    <x v="2"/>
    <x v="4"/>
    <x v="3"/>
    <s v="CUST_ID_056"/>
    <s v="PROD_ID_004"/>
    <x v="30"/>
    <s v="High"/>
    <d v="2020-09-16T00:00:00"/>
    <x v="0"/>
    <x v="0"/>
    <x v="0"/>
    <n v="1837"/>
    <n v="308"/>
    <n v="30"/>
    <n v="55110"/>
    <n v="6613.2000000000007"/>
    <n v="48496.800000000003"/>
    <n v="26.945599999999999"/>
    <n v="565796"/>
    <n v="-517299.20000000001"/>
  </r>
  <r>
    <x v="1"/>
    <x v="4"/>
    <x v="4"/>
    <s v="CUST_ID_136"/>
    <s v="PROD_ID_005"/>
    <x v="62"/>
    <s v="High"/>
    <d v="2020-12-04T00:00:00"/>
    <x v="5"/>
    <x v="2"/>
    <x v="0"/>
    <n v="3080"/>
    <n v="4"/>
    <n v="23"/>
    <n v="70840"/>
    <n v="9209.1999999999989"/>
    <n v="61630.8"/>
    <n v="33.49935"/>
    <n v="12320"/>
    <n v="49310.8"/>
  </r>
  <r>
    <x v="1"/>
    <x v="5"/>
    <x v="3"/>
    <s v="CUST_ID_139"/>
    <s v="PROD_ID_004"/>
    <x v="48"/>
    <s v="High"/>
    <d v="2020-06-21T00:00:00"/>
    <x v="11"/>
    <x v="3"/>
    <x v="0"/>
    <n v="3080"/>
    <n v="308"/>
    <n v="23"/>
    <n v="70840"/>
    <n v="9209.1999999999989"/>
    <n v="61630.8"/>
    <n v="33.49935"/>
    <n v="948640"/>
    <n v="-887009.2"/>
  </r>
  <r>
    <x v="2"/>
    <x v="6"/>
    <x v="4"/>
    <s v="CUST_ID_021"/>
    <s v="PROD_ID_005"/>
    <x v="9"/>
    <s v="High"/>
    <d v="2020-07-27T00:00:00"/>
    <x v="8"/>
    <x v="0"/>
    <x v="0"/>
    <n v="2148"/>
    <n v="4"/>
    <n v="525"/>
    <n v="1127700"/>
    <n v="146601"/>
    <n v="981099"/>
    <n v="545.05499999999995"/>
    <n v="8592"/>
    <n v="972507"/>
  </r>
  <r>
    <x v="4"/>
    <x v="4"/>
    <x v="0"/>
    <s v="CUST_ID_120"/>
    <s v="PROD_ID_001"/>
    <x v="42"/>
    <s v="High"/>
    <d v="2020-07-10T00:00:00"/>
    <x v="8"/>
    <x v="0"/>
    <x v="0"/>
    <n v="725"/>
    <n v="6"/>
    <n v="18"/>
    <n v="13050"/>
    <n v="1696.5"/>
    <n v="11353.5"/>
    <n v="6.3057600000000003"/>
    <n v="4350"/>
    <n v="7003.5"/>
  </r>
  <r>
    <x v="2"/>
    <x v="5"/>
    <x v="0"/>
    <s v="CUST_ID_043"/>
    <s v="PROD_ID_001"/>
    <x v="19"/>
    <s v="High"/>
    <d v="2020-04-16T00:00:00"/>
    <x v="10"/>
    <x v="3"/>
    <x v="0"/>
    <n v="1499"/>
    <n v="6"/>
    <n v="30"/>
    <n v="44970"/>
    <n v="5846.1"/>
    <n v="39123.9"/>
    <n v="21.732599999999998"/>
    <n v="8994"/>
    <n v="30129.9"/>
  </r>
  <r>
    <x v="2"/>
    <x v="5"/>
    <x v="1"/>
    <s v="CUST_ID_027"/>
    <s v="PROD_ID_002"/>
    <x v="58"/>
    <s v="High"/>
    <d v="2020-09-27T00:00:00"/>
    <x v="0"/>
    <x v="0"/>
    <x v="0"/>
    <n v="1726"/>
    <n v="12"/>
    <n v="11"/>
    <n v="18986"/>
    <n v="2468.1800000000003"/>
    <n v="16517.82"/>
    <n v="8.7604649999999999"/>
    <n v="20712"/>
    <n v="-4194.18"/>
  </r>
  <r>
    <x v="2"/>
    <x v="2"/>
    <x v="1"/>
    <s v="CUST_ID_004"/>
    <s v="PROD_ID_002"/>
    <x v="2"/>
    <s v="High"/>
    <d v="2020-11-21T00:00:00"/>
    <x v="4"/>
    <x v="2"/>
    <x v="0"/>
    <n v="3158"/>
    <n v="12"/>
    <n v="525"/>
    <n v="1657950"/>
    <n v="215533.5"/>
    <n v="1442416.5"/>
    <n v="801.44399999999996"/>
    <n v="37896"/>
    <n v="1404520.5"/>
  </r>
  <r>
    <x v="4"/>
    <x v="3"/>
    <x v="1"/>
    <s v="CUST_ID_071"/>
    <s v="PROD_ID_002"/>
    <x v="40"/>
    <s v="High"/>
    <d v="2020-08-30T00:00:00"/>
    <x v="2"/>
    <x v="0"/>
    <x v="0"/>
    <n v="685"/>
    <n v="12"/>
    <n v="18"/>
    <n v="12330"/>
    <n v="1602.9"/>
    <n v="10727.1"/>
    <n v="5.9612400000000001"/>
    <n v="8220"/>
    <n v="2507.1000000000004"/>
  </r>
  <r>
    <x v="2"/>
    <x v="2"/>
    <x v="1"/>
    <s v="CUST_ID_004"/>
    <s v="PROD_ID_002"/>
    <x v="2"/>
    <s v="High"/>
    <d v="2020-12-27T00:00:00"/>
    <x v="5"/>
    <x v="2"/>
    <x v="0"/>
    <n v="1499"/>
    <n v="12"/>
    <n v="30"/>
    <n v="44970"/>
    <n v="5846.1"/>
    <n v="39123.9"/>
    <n v="21.732599999999998"/>
    <n v="17988"/>
    <n v="21135.9"/>
  </r>
  <r>
    <x v="2"/>
    <x v="4"/>
    <x v="1"/>
    <s v="CUST_ID_072"/>
    <s v="PROD_ID_002"/>
    <x v="42"/>
    <s v="High"/>
    <d v="2020-01-04T00:00:00"/>
    <x v="1"/>
    <x v="1"/>
    <x v="0"/>
    <n v="428"/>
    <n v="12"/>
    <n v="525"/>
    <n v="224700"/>
    <n v="29211"/>
    <n v="195489"/>
    <n v="108.70650000000001"/>
    <n v="5136"/>
    <n v="190353"/>
  </r>
  <r>
    <x v="1"/>
    <x v="7"/>
    <x v="2"/>
    <s v="CUST_ID_150"/>
    <s v="PROD_ID_003"/>
    <x v="91"/>
    <s v="High"/>
    <d v="2020-12-22T00:00:00"/>
    <x v="5"/>
    <x v="2"/>
    <x v="0"/>
    <n v="4797"/>
    <n v="148"/>
    <n v="23"/>
    <n v="110331"/>
    <n v="14343.03"/>
    <n v="95987.97"/>
    <n v="52.167375"/>
    <n v="709956"/>
    <n v="-613968.03"/>
  </r>
  <r>
    <x v="2"/>
    <x v="7"/>
    <x v="2"/>
    <s v="CUST_ID_054"/>
    <s v="PROD_ID_003"/>
    <x v="34"/>
    <s v="High"/>
    <d v="2020-05-07T00:00:00"/>
    <x v="7"/>
    <x v="3"/>
    <x v="0"/>
    <n v="1428"/>
    <n v="148"/>
    <n v="11"/>
    <n v="15708"/>
    <n v="2042.04"/>
    <n v="13665.96"/>
    <n v="7.2471000000000005"/>
    <n v="211344"/>
    <n v="-197678.04"/>
  </r>
  <r>
    <x v="4"/>
    <x v="2"/>
    <x v="2"/>
    <s v="CUST_ID_124"/>
    <s v="PROD_ID_003"/>
    <x v="85"/>
    <s v="High"/>
    <d v="2020-09-10T00:00:00"/>
    <x v="0"/>
    <x v="0"/>
    <x v="0"/>
    <n v="725"/>
    <n v="148"/>
    <n v="18"/>
    <n v="13050"/>
    <n v="1696.5"/>
    <n v="11353.5"/>
    <n v="6.3057600000000003"/>
    <n v="107300"/>
    <n v="-95946.5"/>
  </r>
  <r>
    <x v="0"/>
    <x v="0"/>
    <x v="3"/>
    <s v="CUST_ID_105"/>
    <s v="PROD_ID_004"/>
    <x v="60"/>
    <s v="High"/>
    <d v="2020-09-14T00:00:00"/>
    <x v="0"/>
    <x v="0"/>
    <x v="0"/>
    <n v="1900"/>
    <n v="308"/>
    <n v="188"/>
    <n v="357200"/>
    <n v="46436"/>
    <n v="310764"/>
    <n v="172.15125"/>
    <n v="585200"/>
    <n v="-274436"/>
  </r>
  <r>
    <x v="0"/>
    <x v="3"/>
    <x v="5"/>
    <s v="CUST_ID_143"/>
    <s v="PROD_ID_006"/>
    <x v="52"/>
    <s v="High"/>
    <d v="2020-08-22T00:00:00"/>
    <x v="2"/>
    <x v="0"/>
    <x v="0"/>
    <n v="1991"/>
    <n v="320"/>
    <n v="188"/>
    <n v="374308"/>
    <n v="48660.04"/>
    <n v="325647.96000000002"/>
    <n v="180.41624999999999"/>
    <n v="637120"/>
    <n v="-311472.03999999998"/>
  </r>
  <r>
    <x v="2"/>
    <x v="1"/>
    <x v="4"/>
    <s v="CUST_ID_066"/>
    <s v="PROD_ID_005"/>
    <x v="66"/>
    <s v="High"/>
    <d v="2020-03-03T00:00:00"/>
    <x v="9"/>
    <x v="1"/>
    <x v="0"/>
    <n v="3095"/>
    <n v="4"/>
    <n v="30"/>
    <n v="92850"/>
    <n v="12998.999999999998"/>
    <n v="79851"/>
    <n v="44.358800000000002"/>
    <n v="12380"/>
    <n v="67471"/>
  </r>
  <r>
    <x v="2"/>
    <x v="4"/>
    <x v="4"/>
    <s v="CUST_ID_048"/>
    <s v="PROD_ID_005"/>
    <x v="53"/>
    <s v="High"/>
    <d v="2020-11-07T00:00:00"/>
    <x v="4"/>
    <x v="2"/>
    <x v="0"/>
    <n v="336"/>
    <n v="4"/>
    <n v="11"/>
    <n v="3696"/>
    <n v="517.43999999999994"/>
    <n v="3178.56"/>
    <n v="1.6856"/>
    <n v="1344"/>
    <n v="1834.56"/>
  </r>
  <r>
    <x v="2"/>
    <x v="5"/>
    <x v="0"/>
    <s v="CUST_ID_059"/>
    <s v="PROD_ID_001"/>
    <x v="74"/>
    <s v="High"/>
    <d v="2020-05-03T00:00:00"/>
    <x v="7"/>
    <x v="3"/>
    <x v="0"/>
    <n v="352"/>
    <n v="6"/>
    <n v="11"/>
    <n v="3872"/>
    <n v="542.07999999999993"/>
    <n v="3329.92"/>
    <n v="1.7638600000000002"/>
    <n v="2112"/>
    <n v="1217.92"/>
  </r>
  <r>
    <x v="1"/>
    <x v="7"/>
    <x v="1"/>
    <s v="CUST_ID_038"/>
    <s v="PROD_ID_002"/>
    <x v="68"/>
    <s v="High"/>
    <d v="2020-09-23T00:00:00"/>
    <x v="0"/>
    <x v="0"/>
    <x v="0"/>
    <n v="334"/>
    <n v="12"/>
    <n v="23"/>
    <n v="7682"/>
    <n v="1075.4799999999998"/>
    <n v="6606.52"/>
    <n v="3.5861999999999998"/>
    <n v="4008"/>
    <n v="2598.5200000000004"/>
  </r>
  <r>
    <x v="2"/>
    <x v="2"/>
    <x v="1"/>
    <s v="CUST_ID_004"/>
    <s v="PROD_ID_002"/>
    <x v="2"/>
    <s v="High"/>
    <d v="2020-11-29T00:00:00"/>
    <x v="4"/>
    <x v="2"/>
    <x v="0"/>
    <n v="2914"/>
    <n v="12"/>
    <n v="30"/>
    <n v="87420"/>
    <n v="12238.8"/>
    <n v="75181.2"/>
    <n v="41.761600000000001"/>
    <n v="34968"/>
    <n v="40213.199999999997"/>
  </r>
  <r>
    <x v="4"/>
    <x v="0"/>
    <x v="1"/>
    <s v="CUST_ID_025"/>
    <s v="PROD_ID_002"/>
    <x v="12"/>
    <s v="High"/>
    <d v="2020-11-24T00:00:00"/>
    <x v="4"/>
    <x v="2"/>
    <x v="0"/>
    <n v="1672"/>
    <n v="12"/>
    <n v="18"/>
    <n v="30096"/>
    <n v="4213.4399999999996"/>
    <n v="25882.560000000001"/>
    <n v="14.37576"/>
    <n v="20064"/>
    <n v="5818.5600000000013"/>
  </r>
  <r>
    <x v="2"/>
    <x v="4"/>
    <x v="3"/>
    <s v="CUST_ID_056"/>
    <s v="PROD_ID_004"/>
    <x v="30"/>
    <s v="High"/>
    <d v="2020-10-24T00:00:00"/>
    <x v="6"/>
    <x v="2"/>
    <x v="0"/>
    <n v="336"/>
    <n v="308"/>
    <n v="11"/>
    <n v="3696"/>
    <n v="517.43999999999994"/>
    <n v="3178.56"/>
    <n v="1.6856"/>
    <n v="103488"/>
    <n v="-100309.44"/>
  </r>
  <r>
    <x v="3"/>
    <x v="5"/>
    <x v="4"/>
    <s v="CUST_ID_011"/>
    <s v="PROD_ID_005"/>
    <x v="5"/>
    <s v="High"/>
    <d v="2020-02-10T00:00:00"/>
    <x v="3"/>
    <x v="1"/>
    <x v="0"/>
    <n v="961"/>
    <n v="4"/>
    <n v="450"/>
    <n v="432450"/>
    <n v="60543.000000000007"/>
    <n v="371907"/>
    <n v="206.65799999999999"/>
    <n v="3844"/>
    <n v="368063"/>
  </r>
  <r>
    <x v="3"/>
    <x v="1"/>
    <x v="4"/>
    <s v="CUST_ID_146"/>
    <s v="PROD_ID_005"/>
    <x v="41"/>
    <s v="High"/>
    <d v="2020-02-26T00:00:00"/>
    <x v="3"/>
    <x v="1"/>
    <x v="0"/>
    <n v="1795"/>
    <n v="4"/>
    <n v="450"/>
    <n v="807750"/>
    <n v="113085.00000000001"/>
    <n v="694665"/>
    <n v="385.96800000000002"/>
    <n v="7180"/>
    <n v="687485"/>
  </r>
  <r>
    <x v="1"/>
    <x v="5"/>
    <x v="4"/>
    <s v="CUST_ID_107"/>
    <s v="PROD_ID_005"/>
    <x v="61"/>
    <s v="High"/>
    <d v="2020-02-24T00:00:00"/>
    <x v="3"/>
    <x v="1"/>
    <x v="0"/>
    <n v="1816"/>
    <n v="4"/>
    <n v="23"/>
    <n v="41768"/>
    <n v="5847.52"/>
    <n v="35920.479999999996"/>
    <n v="19.517700000000001"/>
    <n v="7264"/>
    <n v="28656.479999999996"/>
  </r>
  <r>
    <x v="2"/>
    <x v="5"/>
    <x v="0"/>
    <s v="CUST_ID_043"/>
    <s v="PROD_ID_001"/>
    <x v="19"/>
    <s v="High"/>
    <d v="2020-05-13T00:00:00"/>
    <x v="7"/>
    <x v="3"/>
    <x v="0"/>
    <n v="2673"/>
    <n v="6"/>
    <n v="525"/>
    <n v="1403325"/>
    <n v="196465.50000000003"/>
    <n v="1206859.5"/>
    <n v="670.47749999999996"/>
    <n v="16038"/>
    <n v="1190821.5"/>
  </r>
  <r>
    <x v="2"/>
    <x v="6"/>
    <x v="0"/>
    <s v="CUST_ID_037"/>
    <s v="PROD_ID_001"/>
    <x v="17"/>
    <s v="High"/>
    <d v="2020-07-01T00:00:00"/>
    <x v="8"/>
    <x v="0"/>
    <x v="0"/>
    <n v="1439"/>
    <n v="6"/>
    <n v="525"/>
    <n v="755475"/>
    <n v="105766.50000000001"/>
    <n v="649708.5"/>
    <n v="360.899"/>
    <n v="8634"/>
    <n v="641074.5"/>
  </r>
  <r>
    <x v="2"/>
    <x v="4"/>
    <x v="1"/>
    <s v="CUST_ID_040"/>
    <s v="PROD_ID_002"/>
    <x v="18"/>
    <s v="High"/>
    <d v="2020-09-23T00:00:00"/>
    <x v="0"/>
    <x v="0"/>
    <x v="0"/>
    <n v="312"/>
    <n v="12"/>
    <n v="30"/>
    <n v="9360"/>
    <n v="1310.4000000000001"/>
    <n v="8049.6"/>
    <n v="4.4720000000000004"/>
    <n v="3744"/>
    <n v="4305.6000000000004"/>
  </r>
  <r>
    <x v="2"/>
    <x v="2"/>
    <x v="1"/>
    <s v="CUST_ID_052"/>
    <s v="PROD_ID_002"/>
    <x v="27"/>
    <s v="High"/>
    <d v="2020-12-17T00:00:00"/>
    <x v="5"/>
    <x v="2"/>
    <x v="0"/>
    <n v="2077"/>
    <n v="12"/>
    <n v="11"/>
    <n v="22847"/>
    <n v="3198.5800000000004"/>
    <n v="19648.419999999998"/>
    <n v="10.42062"/>
    <n v="24924"/>
    <n v="-5275.5800000000017"/>
  </r>
  <r>
    <x v="2"/>
    <x v="2"/>
    <x v="1"/>
    <s v="CUST_ID_004"/>
    <s v="PROD_ID_002"/>
    <x v="2"/>
    <s v="High"/>
    <d v="2020-07-10T00:00:00"/>
    <x v="8"/>
    <x v="0"/>
    <x v="0"/>
    <n v="840"/>
    <n v="12"/>
    <n v="525"/>
    <n v="441000"/>
    <n v="61740.000000000007"/>
    <n v="379260"/>
    <n v="210.7"/>
    <n v="10080"/>
    <n v="369180"/>
  </r>
  <r>
    <x v="2"/>
    <x v="5"/>
    <x v="1"/>
    <s v="CUST_ID_027"/>
    <s v="PROD_ID_002"/>
    <x v="58"/>
    <s v="High"/>
    <d v="2020-12-13T00:00:00"/>
    <x v="5"/>
    <x v="2"/>
    <x v="0"/>
    <n v="1412"/>
    <n v="12"/>
    <n v="525"/>
    <n v="741300"/>
    <n v="103782.00000000001"/>
    <n v="637518"/>
    <n v="354.27699999999999"/>
    <n v="16944"/>
    <n v="620574"/>
  </r>
  <r>
    <x v="3"/>
    <x v="7"/>
    <x v="2"/>
    <s v="CUST_ID_086"/>
    <s v="PROD_ID_003"/>
    <x v="25"/>
    <s v="High"/>
    <d v="2020-01-20T00:00:00"/>
    <x v="1"/>
    <x v="1"/>
    <x v="0"/>
    <n v="2952"/>
    <n v="148"/>
    <n v="450"/>
    <n v="1328400"/>
    <n v="185976.00000000003"/>
    <n v="1142424"/>
    <n v="634.67999999999995"/>
    <n v="436896"/>
    <n v="705528"/>
  </r>
  <r>
    <x v="3"/>
    <x v="5"/>
    <x v="3"/>
    <s v="CUST_ID_075"/>
    <s v="PROD_ID_004"/>
    <x v="69"/>
    <s v="High"/>
    <d v="2020-07-09T00:00:00"/>
    <x v="8"/>
    <x v="0"/>
    <x v="0"/>
    <n v="3049"/>
    <n v="308"/>
    <n v="450"/>
    <n v="1372050"/>
    <n v="192087.00000000003"/>
    <n v="1179963"/>
    <n v="655.57799999999997"/>
    <n v="939092"/>
    <n v="240871"/>
  </r>
  <r>
    <x v="3"/>
    <x v="4"/>
    <x v="5"/>
    <s v="CUST_ID_128"/>
    <s v="PROD_ID_006"/>
    <x v="57"/>
    <s v="High"/>
    <d v="2020-11-06T00:00:00"/>
    <x v="4"/>
    <x v="2"/>
    <x v="0"/>
    <n v="1066"/>
    <n v="320"/>
    <n v="450"/>
    <n v="479700"/>
    <n v="67158"/>
    <n v="412542"/>
    <n v="229.10400000000001"/>
    <n v="341120"/>
    <n v="71422"/>
  </r>
  <r>
    <x v="0"/>
    <x v="2"/>
    <x v="5"/>
    <s v="CUST_ID_148"/>
    <s v="PROD_ID_006"/>
    <x v="85"/>
    <s v="High"/>
    <d v="2020-09-19T00:00:00"/>
    <x v="0"/>
    <x v="0"/>
    <x v="0"/>
    <n v="3413"/>
    <n v="320"/>
    <n v="188"/>
    <n v="641644"/>
    <n v="89830.16"/>
    <n v="551813.84"/>
    <n v="305.73"/>
    <n v="1092160"/>
    <n v="-540346.16"/>
  </r>
  <r>
    <x v="4"/>
    <x v="5"/>
    <x v="5"/>
    <s v="CUST_ID_083"/>
    <s v="PROD_ID_006"/>
    <x v="45"/>
    <s v="High"/>
    <d v="2020-06-10T00:00:00"/>
    <x v="11"/>
    <x v="3"/>
    <x v="0"/>
    <n v="2970"/>
    <n v="320"/>
    <n v="18"/>
    <n v="53460"/>
    <n v="7484.4000000000005"/>
    <n v="45975.6"/>
    <n v="25.542000000000002"/>
    <n v="950400"/>
    <n v="-904424.4"/>
  </r>
  <r>
    <x v="2"/>
    <x v="0"/>
    <x v="5"/>
    <s v="CUST_ID_065"/>
    <s v="PROD_ID_006"/>
    <x v="37"/>
    <s v="High"/>
    <d v="2020-04-18T00:00:00"/>
    <x v="10"/>
    <x v="3"/>
    <x v="0"/>
    <n v="2077"/>
    <n v="320"/>
    <n v="11"/>
    <n v="22847"/>
    <n v="3198.5800000000004"/>
    <n v="19648.419999999998"/>
    <n v="10.42062"/>
    <n v="664640"/>
    <n v="-644991.57999999996"/>
  </r>
  <r>
    <x v="2"/>
    <x v="4"/>
    <x v="1"/>
    <s v="CUST_ID_040"/>
    <s v="PROD_ID_002"/>
    <x v="18"/>
    <s v="High"/>
    <d v="2020-03-13T00:00:00"/>
    <x v="9"/>
    <x v="1"/>
    <x v="0"/>
    <n v="3421"/>
    <n v="12"/>
    <n v="525"/>
    <n v="1796025"/>
    <n v="269403.75"/>
    <n v="1526621.25"/>
    <n v="848.17250000000001"/>
    <n v="41052"/>
    <n v="1485569.25"/>
  </r>
  <r>
    <x v="0"/>
    <x v="3"/>
    <x v="1"/>
    <s v="CUST_ID_023"/>
    <s v="PROD_ID_002"/>
    <x v="10"/>
    <s v="High"/>
    <d v="2020-12-30T00:00:00"/>
    <x v="5"/>
    <x v="2"/>
    <x v="0"/>
    <n v="1302"/>
    <n v="12"/>
    <n v="188"/>
    <n v="244776"/>
    <n v="36716.400000000001"/>
    <n v="208059.6"/>
    <n v="115.28125"/>
    <n v="15624"/>
    <n v="192435.6"/>
  </r>
  <r>
    <x v="1"/>
    <x v="7"/>
    <x v="1"/>
    <s v="CUST_ID_038"/>
    <s v="PROD_ID_002"/>
    <x v="68"/>
    <s v="High"/>
    <d v="2020-07-16T00:00:00"/>
    <x v="8"/>
    <x v="0"/>
    <x v="0"/>
    <n v="1410"/>
    <n v="12"/>
    <n v="23"/>
    <n v="32430"/>
    <n v="4864.5"/>
    <n v="27565.5"/>
    <n v="14.981249999999999"/>
    <n v="16920"/>
    <n v="10645.5"/>
  </r>
  <r>
    <x v="4"/>
    <x v="6"/>
    <x v="1"/>
    <s v="CUST_ID_005"/>
    <s v="PROD_ID_002"/>
    <x v="71"/>
    <s v="High"/>
    <d v="2020-11-16T00:00:00"/>
    <x v="4"/>
    <x v="2"/>
    <x v="0"/>
    <n v="1097"/>
    <n v="12"/>
    <n v="18"/>
    <n v="19746"/>
    <n v="2961.9"/>
    <n v="16784.099999999999"/>
    <n v="9.3227999999999991"/>
    <n v="13164"/>
    <n v="3620.0999999999985"/>
  </r>
  <r>
    <x v="2"/>
    <x v="2"/>
    <x v="1"/>
    <s v="CUST_ID_052"/>
    <s v="PROD_ID_002"/>
    <x v="27"/>
    <s v="High"/>
    <d v="2020-10-15T00:00:00"/>
    <x v="6"/>
    <x v="2"/>
    <x v="0"/>
    <n v="352"/>
    <n v="12"/>
    <n v="30"/>
    <n v="10560"/>
    <n v="1584"/>
    <n v="8976"/>
    <n v="4.9809999999999999"/>
    <n v="4224"/>
    <n v="4752"/>
  </r>
  <r>
    <x v="0"/>
    <x v="6"/>
    <x v="2"/>
    <s v="CUST_ID_053"/>
    <s v="PROD_ID_003"/>
    <x v="28"/>
    <s v="High"/>
    <d v="2020-04-19T00:00:00"/>
    <x v="10"/>
    <x v="3"/>
    <x v="0"/>
    <n v="796"/>
    <n v="148"/>
    <n v="188"/>
    <n v="149648"/>
    <n v="22447.200000000001"/>
    <n v="127200.8"/>
    <n v="70.443749999999994"/>
    <n v="117808"/>
    <n v="9392.8000000000029"/>
  </r>
  <r>
    <x v="1"/>
    <x v="3"/>
    <x v="3"/>
    <s v="CUST_ID_039"/>
    <s v="PROD_ID_004"/>
    <x v="60"/>
    <s v="High"/>
    <d v="2020-10-15T00:00:00"/>
    <x v="6"/>
    <x v="2"/>
    <x v="0"/>
    <n v="590"/>
    <n v="308"/>
    <n v="23"/>
    <n v="13570"/>
    <n v="2035.5"/>
    <n v="11534.5"/>
    <n v="6.2729999999999997"/>
    <n v="181720"/>
    <n v="-170185.5"/>
  </r>
  <r>
    <x v="2"/>
    <x v="4"/>
    <x v="3"/>
    <s v="CUST_ID_008"/>
    <s v="PROD_ID_004"/>
    <x v="4"/>
    <s v="High"/>
    <d v="2020-12-10T00:00:00"/>
    <x v="5"/>
    <x v="2"/>
    <x v="0"/>
    <n v="352"/>
    <n v="308"/>
    <n v="30"/>
    <n v="10560"/>
    <n v="1584"/>
    <n v="8976"/>
    <n v="4.9809999999999999"/>
    <n v="108416"/>
    <n v="-99440"/>
  </r>
  <r>
    <x v="3"/>
    <x v="6"/>
    <x v="5"/>
    <s v="CUST_ID_149"/>
    <s v="PROD_ID_006"/>
    <x v="28"/>
    <s v="High"/>
    <d v="2020-03-28T00:00:00"/>
    <x v="9"/>
    <x v="1"/>
    <x v="0"/>
    <n v="2970"/>
    <n v="320"/>
    <n v="450"/>
    <n v="1336500"/>
    <n v="200475"/>
    <n v="1136025"/>
    <n v="631.125"/>
    <n v="950400"/>
    <n v="185625"/>
  </r>
  <r>
    <x v="3"/>
    <x v="3"/>
    <x v="5"/>
    <s v="CUST_ID_127"/>
    <s v="PROD_ID_006"/>
    <x v="56"/>
    <s v="High"/>
    <d v="2020-12-16T00:00:00"/>
    <x v="5"/>
    <x v="2"/>
    <x v="0"/>
    <n v="655"/>
    <n v="320"/>
    <n v="450"/>
    <n v="294750"/>
    <n v="44212.5"/>
    <n v="250537.5"/>
    <n v="139.22999999999999"/>
    <n v="209600"/>
    <n v="40937.5"/>
  </r>
  <r>
    <x v="4"/>
    <x v="5"/>
    <x v="3"/>
    <s v="CUST_ID_147"/>
    <s v="PROD_ID_004"/>
    <x v="69"/>
    <s v="High"/>
    <d v="2020-03-19T00:00:00"/>
    <x v="9"/>
    <x v="1"/>
    <x v="0"/>
    <n v="2167"/>
    <n v="308"/>
    <n v="18"/>
    <n v="39006"/>
    <n v="5850.9000000000005"/>
    <n v="33155.1"/>
    <n v="18.421200000000002"/>
    <n v="667436"/>
    <n v="-634280.9"/>
  </r>
  <r>
    <x v="3"/>
    <x v="5"/>
    <x v="1"/>
    <s v="CUST_ID_003"/>
    <s v="PROD_ID_002"/>
    <x v="80"/>
    <s v="None"/>
    <d v="2021-01-27T00:00:00"/>
    <x v="1"/>
    <x v="1"/>
    <x v="1"/>
    <n v="946"/>
    <n v="12"/>
    <n v="450"/>
    <n v="425700"/>
    <n v="0"/>
    <n v="425700"/>
    <n v="236.4"/>
    <n v="11352"/>
    <n v="414348"/>
  </r>
  <r>
    <x v="4"/>
    <x v="6"/>
    <x v="1"/>
    <s v="CUST_ID_005"/>
    <s v="PROD_ID_002"/>
    <x v="71"/>
    <s v="None"/>
    <d v="2021-07-08T00:00:00"/>
    <x v="8"/>
    <x v="0"/>
    <x v="1"/>
    <n v="1094"/>
    <n v="12"/>
    <n v="18"/>
    <n v="19692"/>
    <n v="0"/>
    <n v="19692"/>
    <n v="10.944000000000001"/>
    <n v="13128"/>
    <n v="6564"/>
  </r>
  <r>
    <x v="1"/>
    <x v="7"/>
    <x v="1"/>
    <s v="CUST_ID_006"/>
    <s v="PROD_ID_002"/>
    <x v="55"/>
    <s v="None"/>
    <d v="2021-09-28T00:00:00"/>
    <x v="0"/>
    <x v="0"/>
    <x v="1"/>
    <n v="2582"/>
    <n v="12"/>
    <n v="23"/>
    <n v="59386"/>
    <n v="0"/>
    <n v="59386"/>
    <n v="32.28"/>
    <n v="30984"/>
    <n v="28402"/>
  </r>
  <r>
    <x v="0"/>
    <x v="0"/>
    <x v="4"/>
    <s v="CUST_ID_009"/>
    <s v="PROD_ID_005"/>
    <x v="88"/>
    <s v="Low"/>
    <d v="2021-01-12T00:00:00"/>
    <x v="1"/>
    <x v="1"/>
    <x v="1"/>
    <n v="396"/>
    <n v="4"/>
    <n v="188"/>
    <n v="74448"/>
    <n v="744.48"/>
    <n v="73703.520000000004"/>
    <n v="40.837499999999999"/>
    <n v="1584"/>
    <n v="72119.520000000004"/>
  </r>
  <r>
    <x v="4"/>
    <x v="1"/>
    <x v="4"/>
    <s v="CUST_ID_010"/>
    <s v="PROD_ID_005"/>
    <x v="78"/>
    <s v="Low"/>
    <d v="2021-04-06T00:00:00"/>
    <x v="10"/>
    <x v="3"/>
    <x v="1"/>
    <n v="919"/>
    <n v="4"/>
    <n v="18"/>
    <n v="16542"/>
    <n v="165.42000000000002"/>
    <n v="16376.58"/>
    <n v="9.1000800000000002"/>
    <n v="3676"/>
    <n v="12700.58"/>
  </r>
  <r>
    <x v="4"/>
    <x v="7"/>
    <x v="1"/>
    <s v="CUST_ID_014"/>
    <s v="PROD_ID_002"/>
    <x v="63"/>
    <s v="Low"/>
    <d v="2021-07-10T00:00:00"/>
    <x v="8"/>
    <x v="0"/>
    <x v="1"/>
    <n v="919"/>
    <n v="12"/>
    <n v="18"/>
    <n v="16542"/>
    <n v="165.42000000000002"/>
    <n v="16376.58"/>
    <n v="9.1000800000000002"/>
    <n v="11028"/>
    <n v="5348.58"/>
  </r>
  <r>
    <x v="0"/>
    <x v="3"/>
    <x v="2"/>
    <s v="CUST_ID_015"/>
    <s v="PROD_ID_003"/>
    <x v="59"/>
    <s v="Low"/>
    <d v="2021-03-29T00:00:00"/>
    <x v="9"/>
    <x v="1"/>
    <x v="1"/>
    <n v="796"/>
    <n v="148"/>
    <n v="188"/>
    <n v="149648"/>
    <n v="1496.48"/>
    <n v="148151.51999999999"/>
    <n v="82.046250000000001"/>
    <n v="117808"/>
    <n v="30343.51999999999"/>
  </r>
  <r>
    <x v="3"/>
    <x v="0"/>
    <x v="3"/>
    <s v="CUST_ID_017"/>
    <s v="PROD_ID_004"/>
    <x v="84"/>
    <s v="Low"/>
    <d v="2021-07-31T00:00:00"/>
    <x v="8"/>
    <x v="0"/>
    <x v="1"/>
    <n v="593"/>
    <n v="308"/>
    <n v="450"/>
    <n v="266850"/>
    <n v="2668.5"/>
    <n v="264181.5"/>
    <n v="146.71799999999999"/>
    <n v="182644"/>
    <n v="81537.5"/>
  </r>
  <r>
    <x v="4"/>
    <x v="1"/>
    <x v="5"/>
    <s v="CUST_ID_018"/>
    <s v="PROD_ID_006"/>
    <x v="65"/>
    <s v="Low"/>
    <d v="2021-03-29T00:00:00"/>
    <x v="9"/>
    <x v="1"/>
    <x v="1"/>
    <n v="2387"/>
    <n v="320"/>
    <n v="18"/>
    <n v="42966"/>
    <n v="429.66"/>
    <n v="42536.34"/>
    <n v="23.62932"/>
    <n v="763840"/>
    <n v="-721303.66"/>
  </r>
  <r>
    <x v="1"/>
    <x v="5"/>
    <x v="5"/>
    <s v="CUST_ID_019"/>
    <s v="PROD_ID_006"/>
    <x v="90"/>
    <s v="Low"/>
    <d v="2021-07-27T00:00:00"/>
    <x v="8"/>
    <x v="0"/>
    <x v="1"/>
    <n v="385"/>
    <n v="320"/>
    <n v="23"/>
    <n v="8855"/>
    <n v="88.55"/>
    <n v="8766.4500000000007"/>
    <n v="4.7668500000000007"/>
    <n v="123200"/>
    <n v="-114433.55"/>
  </r>
  <r>
    <x v="2"/>
    <x v="2"/>
    <x v="2"/>
    <s v="CUST_ID_028"/>
    <s v="PROD_ID_003"/>
    <x v="86"/>
    <s v="Low"/>
    <d v="2021-01-13T00:00:00"/>
    <x v="1"/>
    <x v="1"/>
    <x v="1"/>
    <n v="3559"/>
    <n v="148"/>
    <n v="525"/>
    <n v="1868475"/>
    <n v="37369.5"/>
    <n v="1831105.5"/>
    <n v="1017.338"/>
    <n v="526732"/>
    <n v="1304373.5"/>
  </r>
  <r>
    <x v="2"/>
    <x v="0"/>
    <x v="3"/>
    <s v="CUST_ID_033"/>
    <s v="PROD_ID_004"/>
    <x v="20"/>
    <s v="Low"/>
    <d v="2021-01-28T00:00:00"/>
    <x v="1"/>
    <x v="1"/>
    <x v="1"/>
    <n v="319"/>
    <n v="308"/>
    <n v="525"/>
    <n v="167475"/>
    <n v="3349.5"/>
    <n v="164125.5"/>
    <n v="91.238"/>
    <n v="98252"/>
    <n v="65873.5"/>
  </r>
  <r>
    <x v="2"/>
    <x v="1"/>
    <x v="3"/>
    <s v="CUST_ID_034"/>
    <s v="PROD_ID_004"/>
    <x v="76"/>
    <s v="Low"/>
    <d v="2021-01-12T00:00:00"/>
    <x v="1"/>
    <x v="1"/>
    <x v="1"/>
    <n v="2328"/>
    <n v="308"/>
    <n v="525"/>
    <n v="1222200"/>
    <n v="24444"/>
    <n v="1197756"/>
    <n v="665.42"/>
    <n v="717024"/>
    <n v="480732"/>
  </r>
  <r>
    <x v="2"/>
    <x v="5"/>
    <x v="5"/>
    <s v="CUST_ID_035"/>
    <s v="PROD_ID_006"/>
    <x v="23"/>
    <s v="Low"/>
    <d v="2021-07-01T00:00:00"/>
    <x v="8"/>
    <x v="0"/>
    <x v="1"/>
    <n v="3559"/>
    <n v="320"/>
    <n v="525"/>
    <n v="1868475"/>
    <n v="37369.5"/>
    <n v="1831105.5"/>
    <n v="1017.338"/>
    <n v="1138880"/>
    <n v="692225.5"/>
  </r>
  <r>
    <x v="1"/>
    <x v="7"/>
    <x v="1"/>
    <s v="CUST_ID_038"/>
    <s v="PROD_ID_002"/>
    <x v="68"/>
    <s v="Low"/>
    <d v="2021-05-02T00:00:00"/>
    <x v="7"/>
    <x v="3"/>
    <x v="1"/>
    <n v="2334"/>
    <n v="12"/>
    <n v="23"/>
    <n v="53682"/>
    <n v="1610.46"/>
    <n v="52071.54"/>
    <n v="28.29975"/>
    <n v="28008"/>
    <n v="24063.54"/>
  </r>
  <r>
    <x v="1"/>
    <x v="3"/>
    <x v="3"/>
    <s v="CUST_ID_039"/>
    <s v="PROD_ID_004"/>
    <x v="60"/>
    <s v="Low"/>
    <d v="2021-04-02T00:00:00"/>
    <x v="10"/>
    <x v="3"/>
    <x v="1"/>
    <n v="2334"/>
    <n v="308"/>
    <n v="23"/>
    <n v="53682"/>
    <n v="1610.46"/>
    <n v="52071.54"/>
    <n v="28.29975"/>
    <n v="718872"/>
    <n v="-666800.46"/>
  </r>
  <r>
    <x v="1"/>
    <x v="1"/>
    <x v="1"/>
    <s v="CUST_ID_002"/>
    <s v="PROD_ID_002"/>
    <x v="1"/>
    <s v="Low"/>
    <d v="2021-04-10T00:00:00"/>
    <x v="10"/>
    <x v="3"/>
    <x v="1"/>
    <n v="2713"/>
    <n v="12"/>
    <n v="23"/>
    <n v="62399"/>
    <n v="2495.9599999999996"/>
    <n v="59903.040000000001"/>
    <n v="32.558399999999999"/>
    <n v="32556"/>
    <n v="27347.040000000001"/>
  </r>
  <r>
    <x v="2"/>
    <x v="0"/>
    <x v="2"/>
    <s v="CUST_ID_041"/>
    <s v="PROD_ID_003"/>
    <x v="81"/>
    <s v="Low"/>
    <d v="2021-07-12T00:00:00"/>
    <x v="8"/>
    <x v="0"/>
    <x v="1"/>
    <n v="883"/>
    <n v="148"/>
    <n v="30"/>
    <n v="26490"/>
    <n v="1059.5999999999999"/>
    <n v="25430.400000000001"/>
    <n v="14.131200000000002"/>
    <n v="130684"/>
    <n v="-105253.6"/>
  </r>
  <r>
    <x v="1"/>
    <x v="2"/>
    <x v="1"/>
    <s v="CUST_ID_044"/>
    <s v="PROD_ID_002"/>
    <x v="64"/>
    <s v="Low"/>
    <d v="2021-03-22T00:00:00"/>
    <x v="9"/>
    <x v="1"/>
    <x v="1"/>
    <n v="1817"/>
    <n v="12"/>
    <n v="23"/>
    <n v="41791"/>
    <n v="1671.64"/>
    <n v="40119.360000000001"/>
    <n v="21.801599999999997"/>
    <n v="21804"/>
    <n v="18315.36"/>
  </r>
  <r>
    <x v="2"/>
    <x v="4"/>
    <x v="2"/>
    <s v="CUST_ID_016"/>
    <s v="PROD_ID_003"/>
    <x v="77"/>
    <s v="Low"/>
    <d v="2021-06-05T00:00:00"/>
    <x v="11"/>
    <x v="3"/>
    <x v="1"/>
    <n v="3175"/>
    <n v="148"/>
    <n v="30"/>
    <n v="95250"/>
    <n v="3810"/>
    <n v="91440"/>
    <n v="50.803199999999997"/>
    <n v="469900"/>
    <n v="-378460"/>
  </r>
  <r>
    <x v="2"/>
    <x v="6"/>
    <x v="0"/>
    <s v="CUST_ID_037"/>
    <s v="PROD_ID_001"/>
    <x v="17"/>
    <s v="Medium"/>
    <d v="2021-08-17T00:00:00"/>
    <x v="2"/>
    <x v="0"/>
    <x v="1"/>
    <n v="1391"/>
    <n v="6"/>
    <n v="11"/>
    <n v="15301"/>
    <n v="765.05"/>
    <n v="14535.95"/>
    <n v="7.7073499999999999"/>
    <n v="8346"/>
    <n v="6189.9500000000007"/>
  </r>
  <r>
    <x v="2"/>
    <x v="2"/>
    <x v="1"/>
    <s v="CUST_ID_004"/>
    <s v="PROD_ID_002"/>
    <x v="2"/>
    <s v="Medium"/>
    <d v="2021-09-28T00:00:00"/>
    <x v="0"/>
    <x v="0"/>
    <x v="1"/>
    <n v="2819"/>
    <n v="12"/>
    <n v="11"/>
    <n v="31009"/>
    <n v="1550.4499999999998"/>
    <n v="29458.55"/>
    <n v="15.620850000000001"/>
    <n v="33828"/>
    <n v="-4369.4500000000007"/>
  </r>
  <r>
    <x v="2"/>
    <x v="4"/>
    <x v="4"/>
    <s v="CUST_ID_048"/>
    <s v="PROD_ID_005"/>
    <x v="53"/>
    <s v="Medium"/>
    <d v="2021-05-24T00:00:00"/>
    <x v="7"/>
    <x v="3"/>
    <x v="1"/>
    <n v="1219"/>
    <n v="4"/>
    <n v="11"/>
    <n v="13409"/>
    <n v="670.45"/>
    <n v="12738.55"/>
    <n v="6.7563999999999993"/>
    <n v="4876"/>
    <n v="7862.5499999999993"/>
  </r>
  <r>
    <x v="1"/>
    <x v="7"/>
    <x v="1"/>
    <s v="CUST_ID_038"/>
    <s v="PROD_ID_002"/>
    <x v="68"/>
    <s v="Medium"/>
    <d v="2021-03-16T00:00:00"/>
    <x v="9"/>
    <x v="1"/>
    <x v="1"/>
    <n v="2539"/>
    <n v="12"/>
    <n v="23"/>
    <n v="58397"/>
    <n v="2919.8500000000004"/>
    <n v="55477.15"/>
    <n v="30.152999999999999"/>
    <n v="30468"/>
    <n v="25009.15"/>
  </r>
  <r>
    <x v="2"/>
    <x v="3"/>
    <x v="5"/>
    <s v="CUST_ID_047"/>
    <s v="PROD_ID_006"/>
    <x v="22"/>
    <s v="Medium"/>
    <d v="2021-01-11T00:00:00"/>
    <x v="1"/>
    <x v="1"/>
    <x v="1"/>
    <n v="1474"/>
    <n v="320"/>
    <n v="525"/>
    <n v="773850"/>
    <n v="38692.5"/>
    <n v="735157.5"/>
    <n v="408.31"/>
    <n v="471680"/>
    <n v="263477.5"/>
  </r>
  <r>
    <x v="4"/>
    <x v="2"/>
    <x v="4"/>
    <s v="CUST_ID_036"/>
    <s v="PROD_ID_005"/>
    <x v="67"/>
    <s v="Medium"/>
    <d v="2021-01-01T00:00:00"/>
    <x v="1"/>
    <x v="1"/>
    <x v="1"/>
    <n v="2759"/>
    <n v="4"/>
    <n v="18"/>
    <n v="49662"/>
    <n v="2979.72"/>
    <n v="46682.28"/>
    <n v="25.93272"/>
    <n v="11036"/>
    <n v="35646.28"/>
  </r>
  <r>
    <x v="0"/>
    <x v="1"/>
    <x v="4"/>
    <s v="CUST_ID_058"/>
    <s v="PROD_ID_005"/>
    <x v="75"/>
    <s v="Medium"/>
    <d v="2021-08-16T00:00:00"/>
    <x v="2"/>
    <x v="0"/>
    <x v="1"/>
    <n v="1064"/>
    <n v="4"/>
    <n v="188"/>
    <n v="200032"/>
    <n v="12001.92"/>
    <n v="188030.07999999999"/>
    <n v="104.2225"/>
    <n v="4256"/>
    <n v="183774.07999999999"/>
  </r>
  <r>
    <x v="2"/>
    <x v="5"/>
    <x v="0"/>
    <s v="CUST_ID_059"/>
    <s v="PROD_ID_001"/>
    <x v="74"/>
    <s v="Medium"/>
    <d v="2021-09-25T00:00:00"/>
    <x v="0"/>
    <x v="0"/>
    <x v="1"/>
    <n v="1684"/>
    <n v="6"/>
    <n v="11"/>
    <n v="18524"/>
    <n v="1111.44"/>
    <n v="17412.560000000001"/>
    <n v="9.2317400000000003"/>
    <n v="10104"/>
    <n v="7308.5600000000013"/>
  </r>
  <r>
    <x v="2"/>
    <x v="5"/>
    <x v="1"/>
    <s v="CUST_ID_027"/>
    <s v="PROD_ID_002"/>
    <x v="58"/>
    <s v="Medium"/>
    <d v="2021-04-19T00:00:00"/>
    <x v="10"/>
    <x v="3"/>
    <x v="1"/>
    <n v="872"/>
    <n v="12"/>
    <n v="525"/>
    <n v="457800"/>
    <n v="27468"/>
    <n v="430332"/>
    <n v="239.18299999999999"/>
    <n v="10464"/>
    <n v="419868"/>
  </r>
  <r>
    <x v="2"/>
    <x v="1"/>
    <x v="3"/>
    <s v="CUST_ID_034"/>
    <s v="PROD_ID_004"/>
    <x v="76"/>
    <s v="Medium"/>
    <d v="2021-07-25T00:00:00"/>
    <x v="8"/>
    <x v="0"/>
    <x v="1"/>
    <n v="1348"/>
    <n v="308"/>
    <n v="30"/>
    <n v="40440"/>
    <n v="2426.4"/>
    <n v="38013.599999999999"/>
    <n v="21.112400000000001"/>
    <n v="415184"/>
    <n v="-377170.4"/>
  </r>
  <r>
    <x v="2"/>
    <x v="4"/>
    <x v="5"/>
    <s v="CUST_ID_064"/>
    <s v="PROD_ID_006"/>
    <x v="73"/>
    <s v="Medium"/>
    <d v="2021-02-21T00:00:00"/>
    <x v="3"/>
    <x v="1"/>
    <x v="1"/>
    <n v="872"/>
    <n v="320"/>
    <n v="525"/>
    <n v="457800"/>
    <n v="27468"/>
    <n v="430332"/>
    <n v="239.18299999999999"/>
    <n v="279040"/>
    <n v="151292"/>
  </r>
  <r>
    <x v="2"/>
    <x v="0"/>
    <x v="5"/>
    <s v="CUST_ID_065"/>
    <s v="PROD_ID_006"/>
    <x v="37"/>
    <s v="Medium"/>
    <d v="2021-08-21T00:00:00"/>
    <x v="2"/>
    <x v="0"/>
    <x v="1"/>
    <n v="2491"/>
    <n v="320"/>
    <n v="525"/>
    <n v="1307775"/>
    <n v="78466.5"/>
    <n v="1229308.5"/>
    <n v="683.00400000000002"/>
    <n v="797120"/>
    <n v="432188.5"/>
  </r>
  <r>
    <x v="2"/>
    <x v="5"/>
    <x v="0"/>
    <s v="CUST_ID_059"/>
    <s v="PROD_ID_001"/>
    <x v="74"/>
    <s v="Medium"/>
    <d v="2021-05-18T00:00:00"/>
    <x v="7"/>
    <x v="3"/>
    <x v="1"/>
    <n v="2108"/>
    <n v="6"/>
    <n v="30"/>
    <n v="63240"/>
    <n v="3794.4"/>
    <n v="59445.599999999999"/>
    <n v="33.031599999999997"/>
    <n v="12648"/>
    <n v="46797.599999999999"/>
  </r>
  <r>
    <x v="2"/>
    <x v="2"/>
    <x v="1"/>
    <s v="CUST_ID_052"/>
    <s v="PROD_ID_002"/>
    <x v="27"/>
    <s v="Medium"/>
    <d v="2021-08-29T00:00:00"/>
    <x v="2"/>
    <x v="0"/>
    <x v="1"/>
    <n v="2108"/>
    <n v="12"/>
    <n v="30"/>
    <n v="63240"/>
    <n v="3794.4"/>
    <n v="59445.599999999999"/>
    <n v="33.031599999999997"/>
    <n v="25296"/>
    <n v="34149.599999999999"/>
  </r>
  <r>
    <x v="2"/>
    <x v="1"/>
    <x v="4"/>
    <s v="CUST_ID_066"/>
    <s v="PROD_ID_005"/>
    <x v="66"/>
    <s v="Medium"/>
    <d v="2021-04-23T00:00:00"/>
    <x v="10"/>
    <x v="3"/>
    <x v="1"/>
    <n v="2201"/>
    <n v="4"/>
    <n v="30"/>
    <n v="66030"/>
    <n v="4622.0999999999995"/>
    <n v="61407.9"/>
    <n v="34.112400000000001"/>
    <n v="8804"/>
    <n v="52603.9"/>
  </r>
  <r>
    <x v="2"/>
    <x v="2"/>
    <x v="1"/>
    <s v="CUST_ID_052"/>
    <s v="PROD_ID_002"/>
    <x v="27"/>
    <s v="Medium"/>
    <d v="2021-02-06T00:00:00"/>
    <x v="3"/>
    <x v="1"/>
    <x v="1"/>
    <n v="1237"/>
    <n v="12"/>
    <n v="11"/>
    <n v="13607"/>
    <n v="952.4899999999999"/>
    <n v="12654.51"/>
    <n v="6.7118100000000007"/>
    <n v="14844"/>
    <n v="-2189.4899999999998"/>
  </r>
  <r>
    <x v="3"/>
    <x v="7"/>
    <x v="1"/>
    <s v="CUST_ID_070"/>
    <s v="PROD_ID_002"/>
    <x v="72"/>
    <s v="Medium"/>
    <d v="2021-05-19T00:00:00"/>
    <x v="7"/>
    <x v="3"/>
    <x v="1"/>
    <n v="1685"/>
    <n v="12"/>
    <n v="450"/>
    <n v="758250"/>
    <n v="53077.500000000007"/>
    <n v="705172.5"/>
    <n v="391.71600000000001"/>
    <n v="20220"/>
    <n v="684952.5"/>
  </r>
  <r>
    <x v="2"/>
    <x v="4"/>
    <x v="1"/>
    <s v="CUST_ID_072"/>
    <s v="PROD_ID_002"/>
    <x v="42"/>
    <s v="Medium"/>
    <d v="2021-06-14T00:00:00"/>
    <x v="11"/>
    <x v="3"/>
    <x v="1"/>
    <n v="2550"/>
    <n v="12"/>
    <n v="11"/>
    <n v="28050"/>
    <n v="1963.5000000000002"/>
    <n v="26086.5"/>
    <n v="13.83375"/>
    <n v="30600"/>
    <n v="-4513.5"/>
  </r>
  <r>
    <x v="2"/>
    <x v="0"/>
    <x v="2"/>
    <s v="CUST_ID_041"/>
    <s v="PROD_ID_003"/>
    <x v="81"/>
    <s v="Medium"/>
    <d v="2021-02-11T00:00:00"/>
    <x v="3"/>
    <x v="1"/>
    <x v="1"/>
    <n v="1705"/>
    <n v="148"/>
    <n v="30"/>
    <n v="51150"/>
    <n v="3580.5000000000005"/>
    <n v="47569.5"/>
    <n v="26.430599999999998"/>
    <n v="252340"/>
    <n v="-204770.5"/>
  </r>
  <r>
    <x v="2"/>
    <x v="2"/>
    <x v="2"/>
    <s v="CUST_ID_028"/>
    <s v="PROD_ID_003"/>
    <x v="86"/>
    <s v="Medium"/>
    <d v="2021-05-05T00:00:00"/>
    <x v="7"/>
    <x v="3"/>
    <x v="1"/>
    <n v="706"/>
    <n v="148"/>
    <n v="30"/>
    <n v="21180"/>
    <n v="1482.6000000000001"/>
    <n v="19697.400000000001"/>
    <n v="10.9368"/>
    <n v="104488"/>
    <n v="-84790.6"/>
  </r>
  <r>
    <x v="0"/>
    <x v="0"/>
    <x v="5"/>
    <s v="CUST_ID_073"/>
    <s v="PROD_ID_006"/>
    <x v="70"/>
    <s v="Medium"/>
    <d v="2021-06-06T00:00:00"/>
    <x v="11"/>
    <x v="3"/>
    <x v="1"/>
    <n v="1193"/>
    <n v="320"/>
    <n v="188"/>
    <n v="224284"/>
    <n v="15699.880000000001"/>
    <n v="208584.12"/>
    <n v="115.55249999999999"/>
    <n v="381760"/>
    <n v="-173175.88"/>
  </r>
  <r>
    <x v="3"/>
    <x v="5"/>
    <x v="3"/>
    <s v="CUST_ID_075"/>
    <s v="PROD_ID_004"/>
    <x v="69"/>
    <s v="Medium"/>
    <d v="2021-06-30T00:00:00"/>
    <x v="11"/>
    <x v="3"/>
    <x v="1"/>
    <n v="970"/>
    <n v="308"/>
    <n v="450"/>
    <n v="436500"/>
    <n v="34920"/>
    <n v="401580"/>
    <n v="223.00800000000001"/>
    <n v="298760"/>
    <n v="102820"/>
  </r>
  <r>
    <x v="4"/>
    <x v="6"/>
    <x v="4"/>
    <s v="CUST_ID_077"/>
    <s v="PROD_ID_005"/>
    <x v="82"/>
    <s v="Medium"/>
    <d v="2021-02-17T00:00:00"/>
    <x v="3"/>
    <x v="1"/>
    <x v="1"/>
    <n v="440"/>
    <n v="4"/>
    <n v="18"/>
    <n v="7920"/>
    <n v="712.8"/>
    <n v="7207.2"/>
    <n v="4.0076400000000003"/>
    <n v="1760"/>
    <n v="5447.2"/>
  </r>
  <r>
    <x v="0"/>
    <x v="3"/>
    <x v="0"/>
    <s v="CUST_ID_079"/>
    <s v="PROD_ID_001"/>
    <x v="29"/>
    <s v="Medium"/>
    <d v="2021-04-29T00:00:00"/>
    <x v="10"/>
    <x v="3"/>
    <x v="1"/>
    <n v="2228"/>
    <n v="6"/>
    <n v="188"/>
    <n v="418864"/>
    <n v="37697.760000000002"/>
    <n v="381166.24"/>
    <n v="211.23374999999999"/>
    <n v="13368"/>
    <n v="367798.24"/>
  </r>
  <r>
    <x v="3"/>
    <x v="4"/>
    <x v="0"/>
    <s v="CUST_ID_080"/>
    <s v="PROD_ID_001"/>
    <x v="39"/>
    <s v="Medium"/>
    <d v="2021-03-19T00:00:00"/>
    <x v="9"/>
    <x v="1"/>
    <x v="1"/>
    <n v="401"/>
    <n v="6"/>
    <n v="450"/>
    <n v="180450"/>
    <n v="16240.5"/>
    <n v="164209.5"/>
    <n v="91.182000000000002"/>
    <n v="2406"/>
    <n v="161803.5"/>
  </r>
  <r>
    <x v="4"/>
    <x v="3"/>
    <x v="1"/>
    <s v="CUST_ID_071"/>
    <s v="PROD_ID_002"/>
    <x v="40"/>
    <s v="Medium"/>
    <d v="2021-06-25T00:00:00"/>
    <x v="11"/>
    <x v="3"/>
    <x v="1"/>
    <n v="440"/>
    <n v="12"/>
    <n v="18"/>
    <n v="7920"/>
    <n v="712.8"/>
    <n v="7207.2"/>
    <n v="4.0076400000000003"/>
    <n v="5280"/>
    <n v="1927.1999999999998"/>
  </r>
  <r>
    <x v="4"/>
    <x v="7"/>
    <x v="1"/>
    <s v="CUST_ID_014"/>
    <s v="PROD_ID_002"/>
    <x v="63"/>
    <s v="Medium"/>
    <d v="2021-03-09T00:00:00"/>
    <x v="9"/>
    <x v="1"/>
    <x v="1"/>
    <n v="2130"/>
    <n v="12"/>
    <n v="18"/>
    <n v="38340"/>
    <n v="3450.6"/>
    <n v="34889.4"/>
    <n v="19.382999999999999"/>
    <n v="25560"/>
    <n v="9329.4000000000015"/>
  </r>
  <r>
    <x v="1"/>
    <x v="1"/>
    <x v="5"/>
    <s v="CUST_ID_082"/>
    <s v="PROD_ID_006"/>
    <x v="92"/>
    <s v="Medium"/>
    <d v="2021-08-16T00:00:00"/>
    <x v="2"/>
    <x v="0"/>
    <x v="1"/>
    <n v="1164"/>
    <n v="320"/>
    <n v="23"/>
    <n v="26772"/>
    <n v="2409.48"/>
    <n v="24362.52"/>
    <n v="13.240500000000001"/>
    <n v="372480"/>
    <n v="-348117.48"/>
  </r>
  <r>
    <x v="2"/>
    <x v="4"/>
    <x v="3"/>
    <s v="CUST_ID_008"/>
    <s v="PROD_ID_004"/>
    <x v="4"/>
    <s v="Medium"/>
    <d v="2021-01-20T00:00:00"/>
    <x v="1"/>
    <x v="1"/>
    <x v="1"/>
    <n v="3218"/>
    <n v="308"/>
    <n v="30"/>
    <n v="96540"/>
    <n v="8688.6"/>
    <n v="87851.4"/>
    <n v="48.812400000000004"/>
    <n v="991144"/>
    <n v="-903292.6"/>
  </r>
  <r>
    <x v="4"/>
    <x v="2"/>
    <x v="4"/>
    <s v="CUST_ID_084"/>
    <s v="PROD_ID_005"/>
    <x v="79"/>
    <s v="High"/>
    <d v="2021-08-21T00:00:00"/>
    <x v="2"/>
    <x v="0"/>
    <x v="1"/>
    <n v="463"/>
    <n v="4"/>
    <n v="18"/>
    <n v="8334"/>
    <n v="833.4"/>
    <n v="7500.6"/>
    <n v="4.1688000000000001"/>
    <n v="1852"/>
    <n v="5648.6"/>
  </r>
  <r>
    <x v="4"/>
    <x v="6"/>
    <x v="1"/>
    <s v="CUST_ID_005"/>
    <s v="PROD_ID_002"/>
    <x v="71"/>
    <s v="High"/>
    <d v="2021-01-13T00:00:00"/>
    <x v="1"/>
    <x v="1"/>
    <x v="1"/>
    <n v="463"/>
    <n v="12"/>
    <n v="18"/>
    <n v="8334"/>
    <n v="833.4"/>
    <n v="7500.6"/>
    <n v="4.1688000000000001"/>
    <n v="5556"/>
    <n v="1944.6000000000004"/>
  </r>
  <r>
    <x v="0"/>
    <x v="6"/>
    <x v="4"/>
    <s v="CUST_ID_085"/>
    <s v="PROD_ID_005"/>
    <x v="54"/>
    <s v="High"/>
    <d v="2021-04-28T00:00:00"/>
    <x v="10"/>
    <x v="3"/>
    <x v="1"/>
    <n v="1778"/>
    <n v="4"/>
    <n v="188"/>
    <n v="334264"/>
    <n v="33426.400000000001"/>
    <n v="300837.59999999998"/>
    <n v="166.72499999999999"/>
    <n v="7112"/>
    <n v="293725.59999999998"/>
  </r>
  <r>
    <x v="0"/>
    <x v="6"/>
    <x v="0"/>
    <s v="CUST_ID_013"/>
    <s v="PROD_ID_001"/>
    <x v="7"/>
    <s v="High"/>
    <d v="2021-04-21T00:00:00"/>
    <x v="10"/>
    <x v="3"/>
    <x v="1"/>
    <n v="2165"/>
    <n v="6"/>
    <n v="188"/>
    <n v="407020"/>
    <n v="40702"/>
    <n v="366318"/>
    <n v="202.95"/>
    <n v="12990"/>
    <n v="353328"/>
  </r>
  <r>
    <x v="3"/>
    <x v="7"/>
    <x v="2"/>
    <s v="CUST_ID_086"/>
    <s v="PROD_ID_003"/>
    <x v="25"/>
    <s v="High"/>
    <d v="2021-04-11T00:00:00"/>
    <x v="10"/>
    <x v="3"/>
    <x v="1"/>
    <n v="2753"/>
    <n v="148"/>
    <n v="450"/>
    <n v="1238850"/>
    <n v="123885"/>
    <n v="1114965"/>
    <n v="619.38"/>
    <n v="407444"/>
    <n v="707521"/>
  </r>
  <r>
    <x v="3"/>
    <x v="5"/>
    <x v="3"/>
    <s v="CUST_ID_075"/>
    <s v="PROD_ID_004"/>
    <x v="69"/>
    <s v="High"/>
    <d v="2021-06-18T00:00:00"/>
    <x v="11"/>
    <x v="3"/>
    <x v="1"/>
    <n v="2753"/>
    <n v="308"/>
    <n v="450"/>
    <n v="1238850"/>
    <n v="123885"/>
    <n v="1114965"/>
    <n v="619.38"/>
    <n v="847924"/>
    <n v="267041"/>
  </r>
  <r>
    <x v="1"/>
    <x v="3"/>
    <x v="3"/>
    <s v="CUST_ID_087"/>
    <s v="PROD_ID_004"/>
    <x v="26"/>
    <s v="High"/>
    <d v="2021-08-11T00:00:00"/>
    <x v="2"/>
    <x v="0"/>
    <x v="1"/>
    <n v="2600"/>
    <n v="308"/>
    <n v="23"/>
    <n v="59800"/>
    <n v="5980"/>
    <n v="53820"/>
    <n v="29.2545"/>
    <n v="800800"/>
    <n v="-746980"/>
  </r>
  <r>
    <x v="2"/>
    <x v="4"/>
    <x v="3"/>
    <s v="CUST_ID_056"/>
    <s v="PROD_ID_004"/>
    <x v="30"/>
    <s v="High"/>
    <d v="2021-07-23T00:00:00"/>
    <x v="8"/>
    <x v="0"/>
    <x v="1"/>
    <n v="2244"/>
    <n v="308"/>
    <n v="525"/>
    <n v="1178100"/>
    <n v="117810"/>
    <n v="1060290"/>
    <n v="589.04999999999995"/>
    <n v="691152"/>
    <n v="369138"/>
  </r>
  <r>
    <x v="4"/>
    <x v="4"/>
    <x v="4"/>
    <s v="CUST_ID_088"/>
    <s v="PROD_ID_005"/>
    <x v="62"/>
    <s v="High"/>
    <d v="2021-04-21T00:00:00"/>
    <x v="10"/>
    <x v="3"/>
    <x v="1"/>
    <n v="1438"/>
    <n v="4"/>
    <n v="18"/>
    <n v="25884"/>
    <n v="2847.24"/>
    <n v="23036.760000000002"/>
    <n v="12.794639999999999"/>
    <n v="5752"/>
    <n v="17284.760000000002"/>
  </r>
  <r>
    <x v="4"/>
    <x v="0"/>
    <x v="1"/>
    <s v="CUST_ID_025"/>
    <s v="PROD_ID_002"/>
    <x v="12"/>
    <s v="High"/>
    <d v="2021-04-26T00:00:00"/>
    <x v="10"/>
    <x v="3"/>
    <x v="1"/>
    <n v="1438"/>
    <n v="12"/>
    <n v="18"/>
    <n v="25884"/>
    <n v="2847.24"/>
    <n v="23036.760000000002"/>
    <n v="12.794639999999999"/>
    <n v="17256"/>
    <n v="5780.760000000002"/>
  </r>
  <r>
    <x v="2"/>
    <x v="1"/>
    <x v="4"/>
    <s v="CUST_ID_066"/>
    <s v="PROD_ID_005"/>
    <x v="66"/>
    <s v="High"/>
    <d v="2021-03-25T00:00:00"/>
    <x v="9"/>
    <x v="1"/>
    <x v="1"/>
    <n v="3247"/>
    <n v="4"/>
    <n v="11"/>
    <n v="35717"/>
    <n v="3928.87"/>
    <n v="31788.13"/>
    <n v="16.85838"/>
    <n v="12988"/>
    <n v="18800.13"/>
  </r>
  <r>
    <x v="2"/>
    <x v="4"/>
    <x v="1"/>
    <s v="CUST_ID_072"/>
    <s v="PROD_ID_002"/>
    <x v="42"/>
    <s v="High"/>
    <d v="2021-04-15T00:00:00"/>
    <x v="10"/>
    <x v="3"/>
    <x v="1"/>
    <n v="3590"/>
    <n v="12"/>
    <n v="30"/>
    <n v="107700"/>
    <n v="11847"/>
    <n v="95853"/>
    <n v="53.257599999999996"/>
    <n v="43080"/>
    <n v="52773"/>
  </r>
  <r>
    <x v="2"/>
    <x v="3"/>
    <x v="2"/>
    <s v="CUST_ID_031"/>
    <s v="PROD_ID_003"/>
    <x v="15"/>
    <s v="High"/>
    <d v="2021-04-03T00:00:00"/>
    <x v="10"/>
    <x v="3"/>
    <x v="1"/>
    <n v="413"/>
    <n v="148"/>
    <n v="525"/>
    <n v="216825"/>
    <n v="23850.75"/>
    <n v="192974.25"/>
    <n v="107.15600000000001"/>
    <n v="61124"/>
    <n v="131850.25"/>
  </r>
  <r>
    <x v="2"/>
    <x v="3"/>
    <x v="3"/>
    <s v="CUST_ID_055"/>
    <s v="PROD_ID_004"/>
    <x v="29"/>
    <s v="High"/>
    <d v="2021-03-09T00:00:00"/>
    <x v="9"/>
    <x v="1"/>
    <x v="1"/>
    <n v="3522"/>
    <n v="308"/>
    <n v="30"/>
    <n v="105660"/>
    <n v="11622.6"/>
    <n v="94037.4"/>
    <n v="52.243000000000002"/>
    <n v="1084776"/>
    <n v="-990738.6"/>
  </r>
  <r>
    <x v="2"/>
    <x v="5"/>
    <x v="1"/>
    <s v="CUST_ID_027"/>
    <s v="PROD_ID_002"/>
    <x v="58"/>
    <s v="High"/>
    <d v="2021-04-30T00:00:00"/>
    <x v="10"/>
    <x v="3"/>
    <x v="1"/>
    <n v="456"/>
    <n v="12"/>
    <n v="11"/>
    <n v="5016"/>
    <n v="551.7600000000001"/>
    <n v="4464.24"/>
    <n v="2.3673999999999999"/>
    <n v="5472"/>
    <n v="-1007.7600000000002"/>
  </r>
  <r>
    <x v="3"/>
    <x v="7"/>
    <x v="0"/>
    <s v="CUST_ID_078"/>
    <s v="PROD_ID_001"/>
    <x v="43"/>
    <s v="High"/>
    <d v="2021-07-17T00:00:00"/>
    <x v="8"/>
    <x v="0"/>
    <x v="1"/>
    <n v="1423"/>
    <n v="6"/>
    <n v="450"/>
    <n v="640350"/>
    <n v="76842"/>
    <n v="563508"/>
    <n v="313.10399999999998"/>
    <n v="8538"/>
    <n v="554970"/>
  </r>
  <r>
    <x v="1"/>
    <x v="2"/>
    <x v="1"/>
    <s v="CUST_ID_044"/>
    <s v="PROD_ID_002"/>
    <x v="64"/>
    <s v="High"/>
    <d v="2021-05-17T00:00:00"/>
    <x v="7"/>
    <x v="3"/>
    <x v="1"/>
    <n v="456"/>
    <n v="12"/>
    <n v="23"/>
    <n v="10488"/>
    <n v="1258.56"/>
    <n v="9229.44"/>
    <n v="5.016"/>
    <n v="5472"/>
    <n v="3757.4400000000005"/>
  </r>
  <r>
    <x v="1"/>
    <x v="4"/>
    <x v="2"/>
    <s v="CUST_ID_096"/>
    <s v="PROD_ID_003"/>
    <x v="89"/>
    <s v="High"/>
    <d v="2021-07-04T00:00:00"/>
    <x v="8"/>
    <x v="0"/>
    <x v="1"/>
    <n v="792"/>
    <n v="148"/>
    <n v="23"/>
    <n v="18216"/>
    <n v="2368.08"/>
    <n v="15847.92"/>
    <n v="8.6129999999999995"/>
    <n v="117216"/>
    <n v="-101368.08"/>
  </r>
  <r>
    <x v="3"/>
    <x v="0"/>
    <x v="2"/>
    <s v="CUST_ID_097"/>
    <s v="PROD_ID_003"/>
    <x v="87"/>
    <s v="High"/>
    <d v="2021-08-21T00:00:00"/>
    <x v="2"/>
    <x v="0"/>
    <x v="1"/>
    <n v="3126"/>
    <n v="148"/>
    <n v="450"/>
    <n v="1406700"/>
    <n v="182871"/>
    <n v="1223829"/>
    <n v="679.90499999999997"/>
    <n v="462648"/>
    <n v="761181"/>
  </r>
  <r>
    <x v="2"/>
    <x v="5"/>
    <x v="0"/>
    <s v="CUST_ID_099"/>
    <s v="PROD_ID_001"/>
    <x v="69"/>
    <s v="High"/>
    <d v="2021-03-06T00:00:00"/>
    <x v="9"/>
    <x v="1"/>
    <x v="1"/>
    <n v="3595"/>
    <n v="6"/>
    <n v="11"/>
    <n v="39545"/>
    <n v="5536.2999999999993"/>
    <n v="34008.699999999997"/>
    <n v="18.035919999999997"/>
    <n v="21570"/>
    <n v="12438.699999999997"/>
  </r>
  <r>
    <x v="4"/>
    <x v="1"/>
    <x v="5"/>
    <s v="CUST_ID_018"/>
    <s v="PROD_ID_006"/>
    <x v="65"/>
    <s v="High"/>
    <d v="2021-08-07T00:00:00"/>
    <x v="2"/>
    <x v="0"/>
    <x v="1"/>
    <n v="2418"/>
    <n v="320"/>
    <n v="18"/>
    <n v="43524"/>
    <n v="6093.36"/>
    <n v="37430.639999999999"/>
    <n v="20.794799999999999"/>
    <n v="773760"/>
    <n v="-736329.36"/>
  </r>
  <r>
    <x v="0"/>
    <x v="2"/>
    <x v="4"/>
    <s v="CUST_ID_100"/>
    <s v="PROD_ID_005"/>
    <x v="85"/>
    <s v="High"/>
    <d v="2021-07-08T00:00:00"/>
    <x v="8"/>
    <x v="0"/>
    <x v="1"/>
    <n v="3385"/>
    <n v="4"/>
    <n v="188"/>
    <n v="636380"/>
    <n v="89093.200000000012"/>
    <n v="547286.80000000005"/>
    <n v="303.25749999999999"/>
    <n v="13540"/>
    <n v="533746.80000000005"/>
  </r>
  <r>
    <x v="1"/>
    <x v="7"/>
    <x v="1"/>
    <s v="CUST_ID_006"/>
    <s v="PROD_ID_002"/>
    <x v="55"/>
    <s v="High"/>
    <d v="2021-04-22T00:00:00"/>
    <x v="10"/>
    <x v="3"/>
    <x v="1"/>
    <n v="2092"/>
    <n v="12"/>
    <n v="23"/>
    <n v="48116"/>
    <n v="6736.2400000000007"/>
    <n v="41379.760000000002"/>
    <n v="22.4847"/>
    <n v="25104"/>
    <n v="16275.760000000002"/>
  </r>
  <r>
    <x v="2"/>
    <x v="2"/>
    <x v="1"/>
    <s v="CUST_ID_052"/>
    <s v="PROD_ID_002"/>
    <x v="27"/>
    <s v="High"/>
    <d v="2021-06-19T00:00:00"/>
    <x v="11"/>
    <x v="3"/>
    <x v="1"/>
    <n v="2306"/>
    <n v="12"/>
    <n v="525"/>
    <n v="1210650"/>
    <n v="169491.00000000003"/>
    <n v="1041159"/>
    <n v="578.52200000000005"/>
    <n v="27672"/>
    <n v="1013487"/>
  </r>
  <r>
    <x v="3"/>
    <x v="6"/>
    <x v="2"/>
    <s v="CUST_ID_101"/>
    <s v="PROD_ID_003"/>
    <x v="28"/>
    <s v="High"/>
    <d v="2021-01-08T00:00:00"/>
    <x v="1"/>
    <x v="1"/>
    <x v="1"/>
    <n v="323"/>
    <n v="148"/>
    <n v="450"/>
    <n v="145350"/>
    <n v="20349.000000000004"/>
    <n v="125001"/>
    <n v="69.402000000000001"/>
    <n v="47804"/>
    <n v="77197"/>
  </r>
  <r>
    <x v="3"/>
    <x v="7"/>
    <x v="2"/>
    <s v="CUST_ID_102"/>
    <s v="PROD_ID_003"/>
    <x v="91"/>
    <s v="High"/>
    <d v="2021-09-03T00:00:00"/>
    <x v="0"/>
    <x v="0"/>
    <x v="1"/>
    <n v="3043"/>
    <n v="148"/>
    <n v="450"/>
    <n v="1369350"/>
    <n v="191709.00000000003"/>
    <n v="1177641"/>
    <n v="654.28800000000001"/>
    <n v="450364"/>
    <n v="727277"/>
  </r>
  <r>
    <x v="2"/>
    <x v="4"/>
    <x v="3"/>
    <s v="CUST_ID_008"/>
    <s v="PROD_ID_004"/>
    <x v="4"/>
    <s v="High"/>
    <d v="2021-01-19T00:00:00"/>
    <x v="1"/>
    <x v="1"/>
    <x v="1"/>
    <n v="1537"/>
    <n v="308"/>
    <n v="525"/>
    <n v="806925"/>
    <n v="112969.50000000001"/>
    <n v="693955.5"/>
    <n v="385.58100000000002"/>
    <n v="473396"/>
    <n v="220559.5"/>
  </r>
  <r>
    <x v="2"/>
    <x v="5"/>
    <x v="1"/>
    <s v="CUST_ID_027"/>
    <s v="PROD_ID_002"/>
    <x v="58"/>
    <s v="High"/>
    <d v="2021-09-02T00:00:00"/>
    <x v="0"/>
    <x v="0"/>
    <x v="1"/>
    <n v="2408"/>
    <n v="12"/>
    <n v="525"/>
    <n v="1264200"/>
    <n v="189630"/>
    <n v="1074570"/>
    <n v="597.08249999999998"/>
    <n v="28896"/>
    <n v="1045674"/>
  </r>
  <r>
    <x v="3"/>
    <x v="7"/>
    <x v="2"/>
    <s v="CUST_ID_086"/>
    <s v="PROD_ID_003"/>
    <x v="25"/>
    <s v="High"/>
    <d v="2021-06-13T00:00:00"/>
    <x v="11"/>
    <x v="3"/>
    <x v="1"/>
    <n v="3089"/>
    <n v="148"/>
    <n v="450"/>
    <n v="1390050"/>
    <n v="208507.5"/>
    <n v="1181542.5"/>
    <n v="656.37"/>
    <n v="457172"/>
    <n v="724370.5"/>
  </r>
  <r>
    <x v="1"/>
    <x v="2"/>
    <x v="4"/>
    <s v="CUST_ID_108"/>
    <s v="PROD_ID_005"/>
    <x v="79"/>
    <s v="None"/>
    <d v="2021-09-16T00:00:00"/>
    <x v="0"/>
    <x v="0"/>
    <x v="1"/>
    <n v="2964"/>
    <n v="4"/>
    <n v="23"/>
    <n v="68172"/>
    <n v="0"/>
    <n v="68172"/>
    <n v="37.049999999999997"/>
    <n v="11856"/>
    <n v="56316"/>
  </r>
  <r>
    <x v="2"/>
    <x v="4"/>
    <x v="4"/>
    <s v="CUST_ID_048"/>
    <s v="PROD_ID_005"/>
    <x v="53"/>
    <s v="None"/>
    <d v="2021-01-11T00:00:00"/>
    <x v="1"/>
    <x v="1"/>
    <x v="1"/>
    <n v="1816"/>
    <n v="4"/>
    <n v="525"/>
    <n v="953400"/>
    <n v="0"/>
    <n v="953400"/>
    <n v="529.54999999999995"/>
    <n v="7264"/>
    <n v="946136"/>
  </r>
  <r>
    <x v="2"/>
    <x v="5"/>
    <x v="0"/>
    <s v="CUST_ID_059"/>
    <s v="PROD_ID_001"/>
    <x v="74"/>
    <s v="None"/>
    <d v="2021-01-02T00:00:00"/>
    <x v="1"/>
    <x v="1"/>
    <x v="1"/>
    <n v="2279"/>
    <n v="6"/>
    <n v="30"/>
    <n v="68370"/>
    <n v="0"/>
    <n v="68370"/>
    <n v="37.979999999999997"/>
    <n v="13674"/>
    <n v="54696"/>
  </r>
  <r>
    <x v="0"/>
    <x v="0"/>
    <x v="0"/>
    <s v="CUST_ID_001"/>
    <s v="PROD_ID_001"/>
    <x v="0"/>
    <s v="None"/>
    <d v="2021-02-25T00:00:00"/>
    <x v="3"/>
    <x v="1"/>
    <x v="1"/>
    <n v="3199"/>
    <n v="6"/>
    <n v="188"/>
    <n v="601412"/>
    <n v="0"/>
    <n v="601412"/>
    <n v="333.1875"/>
    <n v="19194"/>
    <n v="582218"/>
  </r>
  <r>
    <x v="3"/>
    <x v="1"/>
    <x v="0"/>
    <s v="CUST_ID_050"/>
    <s v="PROD_ID_001"/>
    <x v="25"/>
    <s v="None"/>
    <d v="2021-02-13T00:00:00"/>
    <x v="3"/>
    <x v="1"/>
    <x v="1"/>
    <n v="1150"/>
    <n v="6"/>
    <n v="450"/>
    <n v="517500"/>
    <n v="0"/>
    <n v="517500"/>
    <n v="287.39999999999998"/>
    <n v="6900"/>
    <n v="510600"/>
  </r>
  <r>
    <x v="2"/>
    <x v="6"/>
    <x v="0"/>
    <s v="CUST_ID_037"/>
    <s v="PROD_ID_001"/>
    <x v="17"/>
    <s v="None"/>
    <d v="2021-01-25T00:00:00"/>
    <x v="1"/>
    <x v="1"/>
    <x v="1"/>
    <n v="2575"/>
    <n v="6"/>
    <n v="11"/>
    <n v="28325"/>
    <n v="0"/>
    <n v="28325"/>
    <n v="15.022"/>
    <n v="15450"/>
    <n v="12875"/>
  </r>
  <r>
    <x v="1"/>
    <x v="2"/>
    <x v="1"/>
    <s v="CUST_ID_044"/>
    <s v="PROD_ID_002"/>
    <x v="64"/>
    <s v="None"/>
    <d v="2021-04-04T00:00:00"/>
    <x v="10"/>
    <x v="3"/>
    <x v="1"/>
    <n v="1169"/>
    <n v="12"/>
    <n v="23"/>
    <n v="26887"/>
    <n v="0"/>
    <n v="26887"/>
    <n v="14.61"/>
    <n v="14028"/>
    <n v="12859"/>
  </r>
  <r>
    <x v="2"/>
    <x v="4"/>
    <x v="1"/>
    <s v="CUST_ID_072"/>
    <s v="PROD_ID_002"/>
    <x v="42"/>
    <s v="None"/>
    <d v="2021-07-20T00:00:00"/>
    <x v="8"/>
    <x v="0"/>
    <x v="1"/>
    <n v="1207"/>
    <n v="12"/>
    <n v="525"/>
    <n v="633675"/>
    <n v="0"/>
    <n v="633675"/>
    <n v="352.1"/>
    <n v="14484"/>
    <n v="619191"/>
  </r>
  <r>
    <x v="2"/>
    <x v="2"/>
    <x v="1"/>
    <s v="CUST_ID_004"/>
    <s v="PROD_ID_002"/>
    <x v="2"/>
    <s v="None"/>
    <d v="2021-01-18T00:00:00"/>
    <x v="1"/>
    <x v="1"/>
    <x v="1"/>
    <n v="2180"/>
    <n v="12"/>
    <n v="30"/>
    <n v="65400"/>
    <n v="0"/>
    <n v="65400"/>
    <n v="36.340000000000003"/>
    <n v="26160"/>
    <n v="39240"/>
  </r>
  <r>
    <x v="2"/>
    <x v="4"/>
    <x v="1"/>
    <s v="CUST_ID_072"/>
    <s v="PROD_ID_002"/>
    <x v="42"/>
    <s v="None"/>
    <d v="2021-02-11T00:00:00"/>
    <x v="3"/>
    <x v="1"/>
    <x v="1"/>
    <n v="1816"/>
    <n v="12"/>
    <n v="525"/>
    <n v="953400"/>
    <n v="0"/>
    <n v="953400"/>
    <n v="529.54999999999995"/>
    <n v="21792"/>
    <n v="931608"/>
  </r>
  <r>
    <x v="2"/>
    <x v="3"/>
    <x v="2"/>
    <s v="CUST_ID_031"/>
    <s v="PROD_ID_003"/>
    <x v="15"/>
    <s v="None"/>
    <d v="2021-03-04T00:00:00"/>
    <x v="9"/>
    <x v="1"/>
    <x v="1"/>
    <n v="1792"/>
    <n v="148"/>
    <n v="11"/>
    <n v="19712"/>
    <n v="0"/>
    <n v="19712"/>
    <n v="10.451000000000001"/>
    <n v="265216"/>
    <n v="-245504"/>
  </r>
  <r>
    <x v="0"/>
    <x v="6"/>
    <x v="2"/>
    <s v="CUST_ID_053"/>
    <s v="PROD_ID_003"/>
    <x v="28"/>
    <s v="None"/>
    <d v="2021-06-28T00:00:00"/>
    <x v="11"/>
    <x v="3"/>
    <x v="1"/>
    <n v="2165"/>
    <n v="148"/>
    <n v="188"/>
    <n v="407020"/>
    <n v="0"/>
    <n v="407020"/>
    <n v="225.5"/>
    <n v="320420"/>
    <n v="86600"/>
  </r>
  <r>
    <x v="4"/>
    <x v="1"/>
    <x v="2"/>
    <s v="CUST_ID_114"/>
    <s v="PROD_ID_003"/>
    <x v="47"/>
    <s v="None"/>
    <d v="2021-08-04T00:00:00"/>
    <x v="2"/>
    <x v="0"/>
    <x v="1"/>
    <n v="1854"/>
    <n v="148"/>
    <n v="18"/>
    <n v="33372"/>
    <n v="0"/>
    <n v="33372"/>
    <n v="18.54"/>
    <n v="274392"/>
    <n v="-241020"/>
  </r>
  <r>
    <x v="0"/>
    <x v="3"/>
    <x v="2"/>
    <s v="CUST_ID_015"/>
    <s v="PROD_ID_003"/>
    <x v="59"/>
    <s v="None"/>
    <d v="2021-08-19T00:00:00"/>
    <x v="2"/>
    <x v="0"/>
    <x v="1"/>
    <n v="3385"/>
    <n v="148"/>
    <n v="188"/>
    <n v="636380"/>
    <n v="0"/>
    <n v="636380"/>
    <n v="352.625"/>
    <n v="500980"/>
    <n v="135400"/>
  </r>
  <r>
    <x v="3"/>
    <x v="3"/>
    <x v="3"/>
    <s v="CUST_ID_063"/>
    <s v="PROD_ID_004"/>
    <x v="36"/>
    <s v="None"/>
    <d v="2021-03-26T00:00:00"/>
    <x v="9"/>
    <x v="1"/>
    <x v="1"/>
    <n v="2401"/>
    <n v="308"/>
    <n v="450"/>
    <n v="1080450"/>
    <n v="0"/>
    <n v="1080450"/>
    <n v="600.29999999999995"/>
    <n v="739508"/>
    <n v="340942"/>
  </r>
  <r>
    <x v="4"/>
    <x v="5"/>
    <x v="3"/>
    <s v="CUST_ID_067"/>
    <s v="PROD_ID_004"/>
    <x v="38"/>
    <s v="None"/>
    <d v="2021-07-03T00:00:00"/>
    <x v="8"/>
    <x v="0"/>
    <x v="1"/>
    <n v="3406"/>
    <n v="308"/>
    <n v="18"/>
    <n v="61308"/>
    <n v="0"/>
    <n v="61308"/>
    <n v="34.055999999999997"/>
    <n v="1049048"/>
    <n v="-987740"/>
  </r>
  <r>
    <x v="0"/>
    <x v="0"/>
    <x v="5"/>
    <s v="CUST_ID_073"/>
    <s v="PROD_ID_006"/>
    <x v="70"/>
    <s v="None"/>
    <d v="2021-02-20T00:00:00"/>
    <x v="3"/>
    <x v="1"/>
    <x v="1"/>
    <n v="5063"/>
    <n v="320"/>
    <n v="188"/>
    <n v="951844"/>
    <n v="0"/>
    <n v="951844"/>
    <n v="527.4375"/>
    <n v="1620160"/>
    <n v="-668316"/>
  </r>
  <r>
    <x v="2"/>
    <x v="0"/>
    <x v="5"/>
    <s v="CUST_ID_065"/>
    <s v="PROD_ID_006"/>
    <x v="37"/>
    <s v="None"/>
    <d v="2021-07-03T00:00:00"/>
    <x v="8"/>
    <x v="0"/>
    <x v="1"/>
    <n v="2279"/>
    <n v="320"/>
    <n v="30"/>
    <n v="68370"/>
    <n v="0"/>
    <n v="68370"/>
    <n v="37.979999999999997"/>
    <n v="729280"/>
    <n v="-660910"/>
  </r>
  <r>
    <x v="2"/>
    <x v="5"/>
    <x v="5"/>
    <s v="CUST_ID_035"/>
    <s v="PROD_ID_006"/>
    <x v="23"/>
    <s v="None"/>
    <d v="2021-09-14T00:00:00"/>
    <x v="0"/>
    <x v="0"/>
    <x v="1"/>
    <n v="2023"/>
    <n v="320"/>
    <n v="11"/>
    <n v="22253"/>
    <n v="0"/>
    <n v="22253"/>
    <n v="11.802"/>
    <n v="647360"/>
    <n v="-625107"/>
  </r>
  <r>
    <x v="2"/>
    <x v="4"/>
    <x v="5"/>
    <s v="CUST_ID_064"/>
    <s v="PROD_ID_006"/>
    <x v="73"/>
    <s v="None"/>
    <d v="2021-04-23T00:00:00"/>
    <x v="10"/>
    <x v="3"/>
    <x v="1"/>
    <n v="1372"/>
    <n v="320"/>
    <n v="11"/>
    <n v="15092"/>
    <n v="0"/>
    <n v="15092"/>
    <n v="8.0009999999999994"/>
    <n v="439040"/>
    <n v="-423948"/>
  </r>
  <r>
    <x v="2"/>
    <x v="2"/>
    <x v="1"/>
    <s v="CUST_ID_052"/>
    <s v="PROD_ID_002"/>
    <x v="27"/>
    <s v="Low"/>
    <d v="2021-08-12T00:00:00"/>
    <x v="2"/>
    <x v="0"/>
    <x v="1"/>
    <n v="1236"/>
    <n v="12"/>
    <n v="11"/>
    <n v="13596"/>
    <n v="135.95999999999998"/>
    <n v="13460.04"/>
    <n v="7.1378999999999992"/>
    <n v="14832"/>
    <n v="-1371.9599999999991"/>
  </r>
  <r>
    <x v="2"/>
    <x v="3"/>
    <x v="3"/>
    <s v="CUST_ID_055"/>
    <s v="PROD_ID_004"/>
    <x v="29"/>
    <s v="Low"/>
    <d v="2021-03-19T00:00:00"/>
    <x v="9"/>
    <x v="1"/>
    <x v="1"/>
    <n v="1591"/>
    <n v="308"/>
    <n v="11"/>
    <n v="17501"/>
    <n v="175.00999999999996"/>
    <n v="17325.990000000002"/>
    <n v="9.1891800000000003"/>
    <n v="490028"/>
    <n v="-472702.01"/>
  </r>
  <r>
    <x v="4"/>
    <x v="2"/>
    <x v="4"/>
    <s v="CUST_ID_084"/>
    <s v="PROD_ID_005"/>
    <x v="79"/>
    <s v="Low"/>
    <d v="2021-09-07T00:00:00"/>
    <x v="0"/>
    <x v="0"/>
    <x v="1"/>
    <n v="2230"/>
    <n v="4"/>
    <n v="18"/>
    <n v="40140"/>
    <n v="401.40000000000003"/>
    <n v="39738.6"/>
    <n v="22.073040000000002"/>
    <n v="8920"/>
    <n v="30818.6"/>
  </r>
  <r>
    <x v="1"/>
    <x v="1"/>
    <x v="1"/>
    <s v="CUST_ID_026"/>
    <s v="PROD_ID_002"/>
    <x v="13"/>
    <s v="Low"/>
    <d v="2021-09-07T00:00:00"/>
    <x v="0"/>
    <x v="0"/>
    <x v="1"/>
    <n v="1817"/>
    <n v="12"/>
    <n v="23"/>
    <n v="41791"/>
    <n v="417.91"/>
    <n v="41373.089999999997"/>
    <n v="22.482900000000001"/>
    <n v="21804"/>
    <n v="19569.089999999997"/>
  </r>
  <r>
    <x v="0"/>
    <x v="5"/>
    <x v="1"/>
    <s v="CUST_ID_115"/>
    <s v="PROD_ID_002"/>
    <x v="48"/>
    <s v="Low"/>
    <d v="2021-03-05T00:00:00"/>
    <x v="9"/>
    <x v="1"/>
    <x v="1"/>
    <n v="872"/>
    <n v="12"/>
    <n v="188"/>
    <n v="163936"/>
    <n v="1639.3600000000001"/>
    <n v="162296.64000000001"/>
    <n v="89.966250000000002"/>
    <n v="10464"/>
    <n v="151832.64000000001"/>
  </r>
  <r>
    <x v="3"/>
    <x v="2"/>
    <x v="1"/>
    <s v="CUST_ID_116"/>
    <s v="PROD_ID_002"/>
    <x v="49"/>
    <s v="Low"/>
    <d v="2021-01-17T00:00:00"/>
    <x v="1"/>
    <x v="1"/>
    <x v="1"/>
    <n v="3486"/>
    <n v="12"/>
    <n v="450"/>
    <n v="1568700"/>
    <n v="15687"/>
    <n v="1553013"/>
    <n v="862.78499999999997"/>
    <n v="41832"/>
    <n v="1511181"/>
  </r>
  <r>
    <x v="2"/>
    <x v="2"/>
    <x v="1"/>
    <s v="CUST_ID_052"/>
    <s v="PROD_ID_002"/>
    <x v="27"/>
    <s v="Low"/>
    <d v="2021-08-04T00:00:00"/>
    <x v="2"/>
    <x v="0"/>
    <x v="1"/>
    <n v="2586"/>
    <n v="12"/>
    <n v="525"/>
    <n v="1357650"/>
    <n v="13576.5"/>
    <n v="1344073.5"/>
    <n v="746.70749999999998"/>
    <n v="31032"/>
    <n v="1313041.5"/>
  </r>
  <r>
    <x v="0"/>
    <x v="3"/>
    <x v="2"/>
    <s v="CUST_ID_007"/>
    <s v="PROD_ID_003"/>
    <x v="3"/>
    <s v="Low"/>
    <d v="2021-04-04T00:00:00"/>
    <x v="10"/>
    <x v="3"/>
    <x v="1"/>
    <n v="1108"/>
    <n v="148"/>
    <n v="188"/>
    <n v="208304"/>
    <n v="2083.04"/>
    <n v="206220.96"/>
    <n v="114.22125"/>
    <n v="163984"/>
    <n v="42236.959999999992"/>
  </r>
  <r>
    <x v="0"/>
    <x v="7"/>
    <x v="4"/>
    <s v="CUST_ID_094"/>
    <s v="PROD_ID_005"/>
    <x v="50"/>
    <s v="Low"/>
    <d v="2021-05-27T00:00:00"/>
    <x v="7"/>
    <x v="3"/>
    <x v="1"/>
    <n v="891"/>
    <n v="4"/>
    <n v="188"/>
    <n v="167508"/>
    <n v="3350.16"/>
    <n v="164157.84"/>
    <n v="90.956249999999997"/>
    <n v="3564"/>
    <n v="160593.84"/>
  </r>
  <r>
    <x v="4"/>
    <x v="4"/>
    <x v="0"/>
    <s v="CUST_ID_120"/>
    <s v="PROD_ID_001"/>
    <x v="42"/>
    <s v="Low"/>
    <d v="2021-07-26T00:00:00"/>
    <x v="8"/>
    <x v="0"/>
    <x v="1"/>
    <n v="828"/>
    <n v="6"/>
    <n v="18"/>
    <n v="14904"/>
    <n v="298.08"/>
    <n v="14605.92"/>
    <n v="8.1143999999999998"/>
    <n v="4968"/>
    <n v="9637.92"/>
  </r>
  <r>
    <x v="4"/>
    <x v="3"/>
    <x v="1"/>
    <s v="CUST_ID_071"/>
    <s v="PROD_ID_002"/>
    <x v="40"/>
    <s v="Low"/>
    <d v="2021-04-19T00:00:00"/>
    <x v="10"/>
    <x v="3"/>
    <x v="1"/>
    <n v="1301"/>
    <n v="12"/>
    <n v="18"/>
    <n v="23418"/>
    <n v="468.36"/>
    <n v="22949.64"/>
    <n v="12.74784"/>
    <n v="15612"/>
    <n v="7337.6399999999994"/>
  </r>
  <r>
    <x v="2"/>
    <x v="0"/>
    <x v="2"/>
    <s v="CUST_ID_041"/>
    <s v="PROD_ID_003"/>
    <x v="81"/>
    <s v="Low"/>
    <d v="2021-08-28T00:00:00"/>
    <x v="2"/>
    <x v="0"/>
    <x v="1"/>
    <n v="1879"/>
    <n v="148"/>
    <n v="30"/>
    <n v="56370"/>
    <n v="1127.4000000000001"/>
    <n v="55242.6"/>
    <n v="30.6936"/>
    <n v="278092"/>
    <n v="-222849.4"/>
  </r>
  <r>
    <x v="2"/>
    <x v="2"/>
    <x v="2"/>
    <s v="CUST_ID_028"/>
    <s v="PROD_ID_003"/>
    <x v="86"/>
    <s v="Low"/>
    <d v="2021-09-17T00:00:00"/>
    <x v="0"/>
    <x v="0"/>
    <x v="1"/>
    <n v="3452"/>
    <n v="148"/>
    <n v="525"/>
    <n v="1812300"/>
    <n v="36246"/>
    <n v="1776054"/>
    <n v="986.81100000000004"/>
    <n v="510896"/>
    <n v="1265158"/>
  </r>
  <r>
    <x v="4"/>
    <x v="2"/>
    <x v="2"/>
    <s v="CUST_ID_124"/>
    <s v="PROD_ID_003"/>
    <x v="85"/>
    <s v="Low"/>
    <d v="2021-04-09T00:00:00"/>
    <x v="10"/>
    <x v="3"/>
    <x v="1"/>
    <n v="1301"/>
    <n v="148"/>
    <n v="18"/>
    <n v="23418"/>
    <n v="468.36"/>
    <n v="22949.64"/>
    <n v="12.74784"/>
    <n v="192548"/>
    <n v="-169598.36"/>
  </r>
  <r>
    <x v="3"/>
    <x v="7"/>
    <x v="5"/>
    <s v="CUST_ID_126"/>
    <s v="PROD_ID_006"/>
    <x v="91"/>
    <s v="Low"/>
    <d v="2021-02-26T00:00:00"/>
    <x v="3"/>
    <x v="1"/>
    <x v="1"/>
    <n v="311"/>
    <n v="320"/>
    <n v="450"/>
    <n v="139950"/>
    <n v="2799"/>
    <n v="137151"/>
    <n v="76.146000000000001"/>
    <n v="99520"/>
    <n v="37631"/>
  </r>
  <r>
    <x v="3"/>
    <x v="3"/>
    <x v="5"/>
    <s v="CUST_ID_127"/>
    <s v="PROD_ID_006"/>
    <x v="56"/>
    <s v="Low"/>
    <d v="2021-09-25T00:00:00"/>
    <x v="0"/>
    <x v="0"/>
    <x v="1"/>
    <n v="1321"/>
    <n v="320"/>
    <n v="450"/>
    <n v="594450"/>
    <n v="11889"/>
    <n v="582561"/>
    <n v="323.69400000000002"/>
    <n v="422720"/>
    <n v="159841"/>
  </r>
  <r>
    <x v="0"/>
    <x v="0"/>
    <x v="5"/>
    <s v="CUST_ID_073"/>
    <s v="PROD_ID_006"/>
    <x v="70"/>
    <s v="Low"/>
    <d v="2021-09-23T00:00:00"/>
    <x v="0"/>
    <x v="0"/>
    <x v="1"/>
    <n v="2731"/>
    <n v="320"/>
    <n v="188"/>
    <n v="513428"/>
    <n v="10268.56"/>
    <n v="503159.44"/>
    <n v="278.81"/>
    <n v="873920"/>
    <n v="-370760.56"/>
  </r>
  <r>
    <x v="3"/>
    <x v="4"/>
    <x v="5"/>
    <s v="CUST_ID_128"/>
    <s v="PROD_ID_006"/>
    <x v="57"/>
    <s v="Low"/>
    <d v="2021-05-30T00:00:00"/>
    <x v="7"/>
    <x v="3"/>
    <x v="1"/>
    <n v="2299"/>
    <n v="320"/>
    <n v="450"/>
    <n v="1034550"/>
    <n v="20691"/>
    <n v="1013859"/>
    <n v="563.30399999999997"/>
    <n v="735680"/>
    <n v="278179"/>
  </r>
  <r>
    <x v="2"/>
    <x v="4"/>
    <x v="4"/>
    <s v="CUST_ID_048"/>
    <s v="PROD_ID_005"/>
    <x v="53"/>
    <s v="Low"/>
    <d v="2021-04-09T00:00:00"/>
    <x v="10"/>
    <x v="3"/>
    <x v="1"/>
    <n v="3096"/>
    <n v="4"/>
    <n v="30"/>
    <n v="92880"/>
    <n v="2786.4"/>
    <n v="90093.6"/>
    <n v="50.052"/>
    <n v="12384"/>
    <n v="77709.600000000006"/>
  </r>
  <r>
    <x v="4"/>
    <x v="2"/>
    <x v="4"/>
    <s v="CUST_ID_084"/>
    <s v="PROD_ID_005"/>
    <x v="79"/>
    <s v="Low"/>
    <d v="2021-04-23T00:00:00"/>
    <x v="10"/>
    <x v="3"/>
    <x v="1"/>
    <n v="2336"/>
    <n v="4"/>
    <n v="18"/>
    <n v="42048"/>
    <n v="1261.44"/>
    <n v="40786.559999999998"/>
    <n v="22.663080000000001"/>
    <n v="9344"/>
    <n v="31442.559999999998"/>
  </r>
  <r>
    <x v="2"/>
    <x v="6"/>
    <x v="0"/>
    <s v="CUST_ID_037"/>
    <s v="PROD_ID_001"/>
    <x v="17"/>
    <s v="Low"/>
    <d v="2021-05-26T00:00:00"/>
    <x v="7"/>
    <x v="3"/>
    <x v="1"/>
    <n v="2350"/>
    <n v="6"/>
    <n v="11"/>
    <n v="25850"/>
    <n v="775.5"/>
    <n v="25074.5"/>
    <n v="13.29482"/>
    <n v="14100"/>
    <n v="10974.5"/>
  </r>
  <r>
    <x v="4"/>
    <x v="0"/>
    <x v="0"/>
    <s v="CUST_ID_129"/>
    <s v="PROD_ID_001"/>
    <x v="60"/>
    <s v="Low"/>
    <d v="2021-03-13T00:00:00"/>
    <x v="9"/>
    <x v="1"/>
    <x v="1"/>
    <n v="2281"/>
    <n v="6"/>
    <n v="18"/>
    <n v="41058"/>
    <n v="1231.74"/>
    <n v="39826.26"/>
    <n v="22.12764"/>
    <n v="13686"/>
    <n v="26140.260000000002"/>
  </r>
  <r>
    <x v="3"/>
    <x v="0"/>
    <x v="1"/>
    <s v="CUST_ID_121"/>
    <s v="PROD_ID_002"/>
    <x v="70"/>
    <s v="Low"/>
    <d v="2021-05-25T00:00:00"/>
    <x v="7"/>
    <x v="3"/>
    <x v="1"/>
    <n v="2921"/>
    <n v="12"/>
    <n v="450"/>
    <n v="1314450"/>
    <n v="39433.5"/>
    <n v="1275016.5"/>
    <n v="708.43949999999995"/>
    <n v="35052"/>
    <n v="1239964.5"/>
  </r>
  <r>
    <x v="0"/>
    <x v="3"/>
    <x v="1"/>
    <s v="CUST_ID_023"/>
    <s v="PROD_ID_002"/>
    <x v="10"/>
    <s v="Low"/>
    <d v="2021-06-14T00:00:00"/>
    <x v="11"/>
    <x v="3"/>
    <x v="1"/>
    <n v="1884"/>
    <n v="12"/>
    <n v="188"/>
    <n v="354192"/>
    <n v="10625.76"/>
    <n v="343566.24"/>
    <n v="190.36250000000001"/>
    <n v="22608"/>
    <n v="320958.24"/>
  </r>
  <r>
    <x v="0"/>
    <x v="3"/>
    <x v="1"/>
    <s v="CUST_ID_023"/>
    <s v="PROD_ID_002"/>
    <x v="10"/>
    <s v="Low"/>
    <d v="2021-07-17T00:00:00"/>
    <x v="8"/>
    <x v="0"/>
    <x v="1"/>
    <n v="2047"/>
    <n v="12"/>
    <n v="188"/>
    <n v="384836"/>
    <n v="11545.08"/>
    <n v="373290.92"/>
    <n v="206.85249999999999"/>
    <n v="24564"/>
    <n v="348726.92"/>
  </r>
  <r>
    <x v="0"/>
    <x v="3"/>
    <x v="2"/>
    <s v="CUST_ID_007"/>
    <s v="PROD_ID_003"/>
    <x v="3"/>
    <s v="Low"/>
    <d v="2021-02-11T00:00:00"/>
    <x v="3"/>
    <x v="1"/>
    <x v="1"/>
    <n v="2411"/>
    <n v="148"/>
    <n v="188"/>
    <n v="453268"/>
    <n v="13598.039999999999"/>
    <n v="439669.96"/>
    <n v="243.59125"/>
    <n v="356828"/>
    <n v="82841.960000000021"/>
  </r>
  <r>
    <x v="3"/>
    <x v="5"/>
    <x v="3"/>
    <s v="CUST_ID_075"/>
    <s v="PROD_ID_004"/>
    <x v="69"/>
    <s v="Low"/>
    <d v="2021-04-24T00:00:00"/>
    <x v="10"/>
    <x v="3"/>
    <x v="1"/>
    <n v="3413"/>
    <n v="308"/>
    <n v="450"/>
    <n v="1535850"/>
    <n v="46075.5"/>
    <n v="1489774.5"/>
    <n v="827.60400000000004"/>
    <n v="1051204"/>
    <n v="438570.5"/>
  </r>
  <r>
    <x v="1"/>
    <x v="4"/>
    <x v="0"/>
    <s v="CUST_ID_112"/>
    <s v="PROD_ID_001"/>
    <x v="62"/>
    <s v="Low"/>
    <d v="2021-04-21T00:00:00"/>
    <x v="10"/>
    <x v="3"/>
    <x v="1"/>
    <n v="2437"/>
    <n v="6"/>
    <n v="23"/>
    <n v="56051"/>
    <n v="2242.0399999999995"/>
    <n v="53808.959999999999"/>
    <n v="29.246400000000001"/>
    <n v="14622"/>
    <n v="39186.959999999999"/>
  </r>
  <r>
    <x v="2"/>
    <x v="0"/>
    <x v="4"/>
    <s v="CUST_ID_057"/>
    <s v="PROD_ID_005"/>
    <x v="31"/>
    <s v="Low"/>
    <d v="2021-06-09T00:00:00"/>
    <x v="11"/>
    <x v="3"/>
    <x v="1"/>
    <n v="329"/>
    <n v="4"/>
    <n v="525"/>
    <n v="172725"/>
    <n v="6909"/>
    <n v="165816"/>
    <n v="92.063999999999993"/>
    <n v="1316"/>
    <n v="164500"/>
  </r>
  <r>
    <x v="3"/>
    <x v="4"/>
    <x v="0"/>
    <s v="CUST_ID_080"/>
    <s v="PROD_ID_001"/>
    <x v="39"/>
    <s v="Low"/>
    <d v="2021-05-20T00:00:00"/>
    <x v="7"/>
    <x v="3"/>
    <x v="1"/>
    <n v="2231"/>
    <n v="6"/>
    <n v="450"/>
    <n v="1003950"/>
    <n v="40158"/>
    <n v="963792"/>
    <n v="535.39200000000005"/>
    <n v="13386"/>
    <n v="950406"/>
  </r>
  <r>
    <x v="3"/>
    <x v="4"/>
    <x v="0"/>
    <s v="CUST_ID_080"/>
    <s v="PROD_ID_001"/>
    <x v="39"/>
    <s v="Low"/>
    <d v="2021-06-06T00:00:00"/>
    <x v="11"/>
    <x v="3"/>
    <x v="1"/>
    <n v="2425"/>
    <n v="6"/>
    <n v="450"/>
    <n v="1091250"/>
    <n v="43650"/>
    <n v="1047600"/>
    <n v="582.048"/>
    <n v="14550"/>
    <n v="1033050"/>
  </r>
  <r>
    <x v="2"/>
    <x v="5"/>
    <x v="1"/>
    <s v="CUST_ID_027"/>
    <s v="PROD_ID_002"/>
    <x v="58"/>
    <s v="Low"/>
    <d v="2021-07-27T00:00:00"/>
    <x v="8"/>
    <x v="0"/>
    <x v="1"/>
    <n v="4140"/>
    <n v="12"/>
    <n v="525"/>
    <n v="2173500"/>
    <n v="86940"/>
    <n v="2086560"/>
    <n v="1159.2"/>
    <n v="49680"/>
    <n v="2036880"/>
  </r>
  <r>
    <x v="0"/>
    <x v="5"/>
    <x v="1"/>
    <s v="CUST_ID_051"/>
    <s v="PROD_ID_002"/>
    <x v="26"/>
    <s v="Low"/>
    <d v="2021-01-29T00:00:00"/>
    <x v="1"/>
    <x v="1"/>
    <x v="1"/>
    <n v="3586"/>
    <n v="12"/>
    <n v="188"/>
    <n v="674168"/>
    <n v="26966.720000000001"/>
    <n v="647201.28000000003"/>
    <n v="358.56"/>
    <n v="43032"/>
    <n v="604169.28"/>
  </r>
  <r>
    <x v="1"/>
    <x v="7"/>
    <x v="1"/>
    <s v="CUST_ID_006"/>
    <s v="PROD_ID_002"/>
    <x v="55"/>
    <s v="Low"/>
    <d v="2021-04-05T00:00:00"/>
    <x v="10"/>
    <x v="3"/>
    <x v="1"/>
    <n v="262"/>
    <n v="12"/>
    <n v="23"/>
    <n v="6026"/>
    <n v="241.04"/>
    <n v="5784.96"/>
    <n v="3.1391999999999998"/>
    <n v="3144"/>
    <n v="2640.96"/>
  </r>
  <r>
    <x v="2"/>
    <x v="5"/>
    <x v="1"/>
    <s v="CUST_ID_027"/>
    <s v="PROD_ID_002"/>
    <x v="58"/>
    <s v="Low"/>
    <d v="2021-03-16T00:00:00"/>
    <x v="9"/>
    <x v="1"/>
    <x v="1"/>
    <n v="1267"/>
    <n v="12"/>
    <n v="30"/>
    <n v="38010"/>
    <n v="1520.4"/>
    <n v="36489.599999999999"/>
    <n v="20.275200000000002"/>
    <n v="15204"/>
    <n v="21285.599999999999"/>
  </r>
  <r>
    <x v="2"/>
    <x v="7"/>
    <x v="2"/>
    <s v="CUST_ID_054"/>
    <s v="PROD_ID_003"/>
    <x v="34"/>
    <s v="Low"/>
    <d v="2021-05-18T00:00:00"/>
    <x v="7"/>
    <x v="3"/>
    <x v="1"/>
    <n v="2612"/>
    <n v="148"/>
    <n v="525"/>
    <n v="1371300"/>
    <n v="54852"/>
    <n v="1316448"/>
    <n v="731.47199999999998"/>
    <n v="386576"/>
    <n v="929872"/>
  </r>
  <r>
    <x v="0"/>
    <x v="2"/>
    <x v="5"/>
    <s v="CUST_ID_092"/>
    <s v="PROD_ID_006"/>
    <x v="49"/>
    <s v="Low"/>
    <d v="2021-05-13T00:00:00"/>
    <x v="7"/>
    <x v="3"/>
    <x v="1"/>
    <n v="1289"/>
    <n v="320"/>
    <n v="188"/>
    <n v="242332"/>
    <n v="9693.2800000000007"/>
    <n v="232638.72"/>
    <n v="128.88"/>
    <n v="412480"/>
    <n v="-179841.28"/>
  </r>
  <r>
    <x v="2"/>
    <x v="4"/>
    <x v="1"/>
    <s v="CUST_ID_072"/>
    <s v="PROD_ID_002"/>
    <x v="42"/>
    <s v="Medium"/>
    <d v="2021-04-07T00:00:00"/>
    <x v="10"/>
    <x v="3"/>
    <x v="1"/>
    <n v="1646"/>
    <n v="12"/>
    <n v="11"/>
    <n v="18106"/>
    <n v="905.3"/>
    <n v="17200.7"/>
    <n v="9.1237999999999992"/>
    <n v="19752"/>
    <n v="-2551.2999999999993"/>
  </r>
  <r>
    <x v="2"/>
    <x v="4"/>
    <x v="1"/>
    <s v="CUST_ID_040"/>
    <s v="PROD_ID_002"/>
    <x v="18"/>
    <s v="Medium"/>
    <d v="2021-02-03T00:00:00"/>
    <x v="3"/>
    <x v="1"/>
    <x v="1"/>
    <n v="3227"/>
    <n v="12"/>
    <n v="11"/>
    <n v="35497"/>
    <n v="1774.85"/>
    <n v="33722.15"/>
    <n v="17.88185"/>
    <n v="38724"/>
    <n v="-5001.8499999999985"/>
  </r>
  <r>
    <x v="2"/>
    <x v="6"/>
    <x v="5"/>
    <s v="CUST_ID_093"/>
    <s v="PROD_ID_006"/>
    <x v="31"/>
    <s v="Medium"/>
    <d v="2021-01-16T00:00:00"/>
    <x v="1"/>
    <x v="1"/>
    <x v="1"/>
    <n v="2020"/>
    <n v="320"/>
    <n v="11"/>
    <n v="22220"/>
    <n v="1111"/>
    <n v="21109"/>
    <n v="11.19195"/>
    <n v="646400"/>
    <n v="-625291"/>
  </r>
  <r>
    <x v="4"/>
    <x v="2"/>
    <x v="5"/>
    <s v="CUST_ID_076"/>
    <s v="PROD_ID_006"/>
    <x v="85"/>
    <s v="Medium"/>
    <d v="2021-01-01T00:00:00"/>
    <x v="1"/>
    <x v="1"/>
    <x v="1"/>
    <n v="1348"/>
    <n v="320"/>
    <n v="18"/>
    <n v="24264"/>
    <n v="1213.1999999999998"/>
    <n v="23050.799999999999"/>
    <n v="12.802200000000001"/>
    <n v="431360"/>
    <n v="-408309.2"/>
  </r>
  <r>
    <x v="4"/>
    <x v="4"/>
    <x v="4"/>
    <s v="CUST_ID_088"/>
    <s v="PROD_ID_005"/>
    <x v="62"/>
    <s v="Medium"/>
    <d v="2021-01-13T00:00:00"/>
    <x v="1"/>
    <x v="1"/>
    <x v="1"/>
    <n v="2238"/>
    <n v="4"/>
    <n v="18"/>
    <n v="40284"/>
    <n v="2014.2"/>
    <n v="38269.800000000003"/>
    <n v="21.260999999999999"/>
    <n v="8952"/>
    <n v="29317.800000000003"/>
  </r>
  <r>
    <x v="2"/>
    <x v="6"/>
    <x v="4"/>
    <s v="CUST_ID_021"/>
    <s v="PROD_ID_005"/>
    <x v="9"/>
    <s v="Medium"/>
    <d v="2021-08-08T00:00:00"/>
    <x v="2"/>
    <x v="0"/>
    <x v="1"/>
    <n v="2984"/>
    <n v="4"/>
    <n v="11"/>
    <n v="32824"/>
    <n v="1641.2"/>
    <n v="31182.799999999999"/>
    <n v="16.538550000000001"/>
    <n v="11936"/>
    <n v="19246.8"/>
  </r>
  <r>
    <x v="0"/>
    <x v="5"/>
    <x v="1"/>
    <s v="CUST_ID_115"/>
    <s v="PROD_ID_002"/>
    <x v="48"/>
    <s v="Medium"/>
    <d v="2021-05-16T00:00:00"/>
    <x v="7"/>
    <x v="3"/>
    <x v="1"/>
    <n v="3590"/>
    <n v="12"/>
    <n v="188"/>
    <n v="674920"/>
    <n v="33746"/>
    <n v="641174"/>
    <n v="355.3"/>
    <n v="43080"/>
    <n v="598094"/>
  </r>
  <r>
    <x v="2"/>
    <x v="5"/>
    <x v="1"/>
    <s v="CUST_ID_027"/>
    <s v="PROD_ID_002"/>
    <x v="58"/>
    <s v="Medium"/>
    <d v="2021-03-25T00:00:00"/>
    <x v="9"/>
    <x v="1"/>
    <x v="1"/>
    <n v="2792"/>
    <n v="12"/>
    <n v="11"/>
    <n v="30712"/>
    <n v="1535.6000000000001"/>
    <n v="29176.400000000001"/>
    <n v="15.474549999999999"/>
    <n v="33504"/>
    <n v="-4327.5999999999985"/>
  </r>
  <r>
    <x v="1"/>
    <x v="5"/>
    <x v="2"/>
    <s v="CUST_ID_091"/>
    <s v="PROD_ID_003"/>
    <x v="48"/>
    <s v="Medium"/>
    <d v="2021-07-20T00:00:00"/>
    <x v="8"/>
    <x v="0"/>
    <x v="1"/>
    <n v="3433"/>
    <n v="148"/>
    <n v="23"/>
    <n v="78959"/>
    <n v="3947.9500000000003"/>
    <n v="75011.05"/>
    <n v="40.76925"/>
    <n v="508084"/>
    <n v="-433072.95"/>
  </r>
  <r>
    <x v="2"/>
    <x v="0"/>
    <x v="2"/>
    <s v="CUST_ID_041"/>
    <s v="PROD_ID_003"/>
    <x v="81"/>
    <s v="Medium"/>
    <d v="2021-01-23T00:00:00"/>
    <x v="1"/>
    <x v="1"/>
    <x v="1"/>
    <n v="722"/>
    <n v="148"/>
    <n v="525"/>
    <n v="379050"/>
    <n v="18952.5"/>
    <n v="360097.5"/>
    <n v="200.16499999999999"/>
    <n v="106856"/>
    <n v="253241.5"/>
  </r>
  <r>
    <x v="0"/>
    <x v="3"/>
    <x v="2"/>
    <s v="CUST_ID_015"/>
    <s v="PROD_ID_003"/>
    <x v="59"/>
    <s v="Medium"/>
    <d v="2021-04-27T00:00:00"/>
    <x v="10"/>
    <x v="3"/>
    <x v="1"/>
    <n v="1033"/>
    <n v="148"/>
    <n v="188"/>
    <n v="194204"/>
    <n v="9710.2000000000007"/>
    <n v="184493.8"/>
    <n v="102.24375000000001"/>
    <n v="152884"/>
    <n v="31609.799999999988"/>
  </r>
  <r>
    <x v="3"/>
    <x v="7"/>
    <x v="2"/>
    <s v="CUST_ID_102"/>
    <s v="PROD_ID_003"/>
    <x v="91"/>
    <s v="Medium"/>
    <d v="2021-05-25T00:00:00"/>
    <x v="7"/>
    <x v="3"/>
    <x v="1"/>
    <n v="1500"/>
    <n v="148"/>
    <n v="450"/>
    <n v="675000"/>
    <n v="33750"/>
    <n v="641250"/>
    <n v="356.25"/>
    <n v="222000"/>
    <n v="419250"/>
  </r>
  <r>
    <x v="2"/>
    <x v="0"/>
    <x v="3"/>
    <s v="CUST_ID_033"/>
    <s v="PROD_ID_004"/>
    <x v="20"/>
    <s v="Medium"/>
    <d v="2021-08-16T00:00:00"/>
    <x v="2"/>
    <x v="0"/>
    <x v="1"/>
    <n v="3196"/>
    <n v="308"/>
    <n v="30"/>
    <n v="95880"/>
    <n v="4794"/>
    <n v="91086"/>
    <n v="50.597000000000001"/>
    <n v="984368"/>
    <n v="-893282"/>
  </r>
  <r>
    <x v="2"/>
    <x v="4"/>
    <x v="3"/>
    <s v="CUST_ID_008"/>
    <s v="PROD_ID_004"/>
    <x v="4"/>
    <s v="Medium"/>
    <d v="2021-03-27T00:00:00"/>
    <x v="9"/>
    <x v="1"/>
    <x v="1"/>
    <n v="2984"/>
    <n v="308"/>
    <n v="11"/>
    <n v="32824"/>
    <n v="1641.2"/>
    <n v="31182.799999999999"/>
    <n v="16.538550000000001"/>
    <n v="919072"/>
    <n v="-887889.2"/>
  </r>
  <r>
    <x v="3"/>
    <x v="7"/>
    <x v="5"/>
    <s v="CUST_ID_126"/>
    <s v="PROD_ID_006"/>
    <x v="91"/>
    <s v="Medium"/>
    <d v="2021-08-15T00:00:00"/>
    <x v="2"/>
    <x v="0"/>
    <x v="1"/>
    <n v="1500"/>
    <n v="320"/>
    <n v="450"/>
    <n v="675000"/>
    <n v="33750"/>
    <n v="641250"/>
    <n v="356.25"/>
    <n v="480000"/>
    <n v="161250"/>
  </r>
  <r>
    <x v="1"/>
    <x v="1"/>
    <x v="1"/>
    <s v="CUST_ID_002"/>
    <s v="PROD_ID_002"/>
    <x v="1"/>
    <s v="Medium"/>
    <d v="2021-03-19T00:00:00"/>
    <x v="9"/>
    <x v="1"/>
    <x v="1"/>
    <n v="4561"/>
    <n v="12"/>
    <n v="23"/>
    <n v="104903"/>
    <n v="6294.1799999999994"/>
    <n v="98608.82"/>
    <n v="53.594100000000005"/>
    <n v="54732"/>
    <n v="43876.820000000007"/>
  </r>
  <r>
    <x v="2"/>
    <x v="0"/>
    <x v="0"/>
    <s v="CUST_ID_049"/>
    <s v="PROD_ID_001"/>
    <x v="24"/>
    <s v="Medium"/>
    <d v="2021-07-15T00:00:00"/>
    <x v="8"/>
    <x v="0"/>
    <x v="1"/>
    <n v="1176"/>
    <n v="6"/>
    <n v="525"/>
    <n v="617400"/>
    <n v="37044"/>
    <n v="580356"/>
    <n v="322.42"/>
    <n v="7056"/>
    <n v="573300"/>
  </r>
  <r>
    <x v="2"/>
    <x v="6"/>
    <x v="0"/>
    <s v="CUST_ID_037"/>
    <s v="PROD_ID_001"/>
    <x v="17"/>
    <s v="Medium"/>
    <d v="2021-05-17T00:00:00"/>
    <x v="7"/>
    <x v="3"/>
    <x v="1"/>
    <n v="1752"/>
    <n v="6"/>
    <n v="525"/>
    <n v="919800"/>
    <n v="55188"/>
    <n v="864612"/>
    <n v="480.34"/>
    <n v="10512"/>
    <n v="854100"/>
  </r>
  <r>
    <x v="1"/>
    <x v="4"/>
    <x v="2"/>
    <s v="CUST_ID_096"/>
    <s v="PROD_ID_003"/>
    <x v="89"/>
    <s v="Medium"/>
    <d v="2021-08-24T00:00:00"/>
    <x v="2"/>
    <x v="0"/>
    <x v="1"/>
    <n v="1836"/>
    <n v="148"/>
    <n v="23"/>
    <n v="42228"/>
    <n v="2533.6799999999998"/>
    <n v="39694.32"/>
    <n v="21.573"/>
    <n v="271728"/>
    <n v="-232033.68"/>
  </r>
  <r>
    <x v="2"/>
    <x v="3"/>
    <x v="2"/>
    <s v="CUST_ID_031"/>
    <s v="PROD_ID_003"/>
    <x v="15"/>
    <s v="Medium"/>
    <d v="2021-01-11T00:00:00"/>
    <x v="1"/>
    <x v="1"/>
    <x v="1"/>
    <n v="1798"/>
    <n v="148"/>
    <n v="11"/>
    <n v="19778"/>
    <n v="1186.68"/>
    <n v="18591.32"/>
    <n v="9.85684"/>
    <n v="266104"/>
    <n v="-247512.68"/>
  </r>
  <r>
    <x v="0"/>
    <x v="1"/>
    <x v="5"/>
    <s v="CUST_ID_138"/>
    <s v="PROD_ID_006"/>
    <x v="47"/>
    <s v="Medium"/>
    <d v="2021-06-28T00:00:00"/>
    <x v="11"/>
    <x v="3"/>
    <x v="1"/>
    <n v="2385"/>
    <n v="320"/>
    <n v="188"/>
    <n v="448380"/>
    <n v="26902.799999999999"/>
    <n v="421477.2"/>
    <n v="233.53125"/>
    <n v="763200"/>
    <n v="-341722.8"/>
  </r>
  <r>
    <x v="1"/>
    <x v="7"/>
    <x v="1"/>
    <s v="CUST_ID_038"/>
    <s v="PROD_ID_002"/>
    <x v="68"/>
    <s v="Medium"/>
    <d v="2021-03-16T00:00:00"/>
    <x v="9"/>
    <x v="1"/>
    <x v="1"/>
    <n v="2092"/>
    <n v="12"/>
    <n v="23"/>
    <n v="48116"/>
    <n v="2886.96"/>
    <n v="45229.04"/>
    <n v="24.5763"/>
    <n v="25104"/>
    <n v="20125.04"/>
  </r>
  <r>
    <x v="4"/>
    <x v="6"/>
    <x v="4"/>
    <s v="CUST_ID_077"/>
    <s v="PROD_ID_005"/>
    <x v="82"/>
    <s v="Medium"/>
    <d v="2021-08-20T00:00:00"/>
    <x v="2"/>
    <x v="0"/>
    <x v="1"/>
    <n v="872"/>
    <n v="4"/>
    <n v="18"/>
    <n v="15696"/>
    <n v="1098.7199999999998"/>
    <n v="14597.28"/>
    <n v="8.1133199999999999"/>
    <n v="3488"/>
    <n v="11109.28"/>
  </r>
  <r>
    <x v="4"/>
    <x v="4"/>
    <x v="0"/>
    <s v="CUST_ID_120"/>
    <s v="PROD_ID_001"/>
    <x v="42"/>
    <s v="Medium"/>
    <d v="2021-03-08T00:00:00"/>
    <x v="9"/>
    <x v="1"/>
    <x v="1"/>
    <n v="2808"/>
    <n v="6"/>
    <n v="18"/>
    <n v="50544"/>
    <n v="3538.0799999999995"/>
    <n v="47005.919999999998"/>
    <n v="26.1144"/>
    <n v="16848"/>
    <n v="30157.919999999998"/>
  </r>
  <r>
    <x v="2"/>
    <x v="0"/>
    <x v="2"/>
    <s v="CUST_ID_041"/>
    <s v="PROD_ID_003"/>
    <x v="81"/>
    <s v="Medium"/>
    <d v="2021-08-04T00:00:00"/>
    <x v="2"/>
    <x v="0"/>
    <x v="1"/>
    <n v="656"/>
    <n v="148"/>
    <n v="11"/>
    <n v="7216"/>
    <n v="505.11999999999995"/>
    <n v="6710.88"/>
    <n v="3.5609700000000002"/>
    <n v="97088"/>
    <n v="-90377.12"/>
  </r>
  <r>
    <x v="4"/>
    <x v="0"/>
    <x v="3"/>
    <s v="CUST_ID_081"/>
    <s v="PROD_ID_004"/>
    <x v="44"/>
    <s v="Medium"/>
    <d v="2021-02-25T00:00:00"/>
    <x v="3"/>
    <x v="1"/>
    <x v="1"/>
    <n v="2086"/>
    <n v="308"/>
    <n v="18"/>
    <n v="37548"/>
    <n v="2628.3599999999997"/>
    <n v="34919.64"/>
    <n v="19.40166"/>
    <n v="642488"/>
    <n v="-607568.36"/>
  </r>
  <r>
    <x v="2"/>
    <x v="3"/>
    <x v="3"/>
    <s v="CUST_ID_055"/>
    <s v="PROD_ID_004"/>
    <x v="29"/>
    <s v="Medium"/>
    <d v="2021-01-01T00:00:00"/>
    <x v="1"/>
    <x v="1"/>
    <x v="1"/>
    <n v="1898"/>
    <n v="308"/>
    <n v="11"/>
    <n v="20878"/>
    <n v="1461.4599999999998"/>
    <n v="19416.54"/>
    <n v="10.298819999999999"/>
    <n v="584584"/>
    <n v="-565167.46"/>
  </r>
  <r>
    <x v="2"/>
    <x v="0"/>
    <x v="4"/>
    <s v="CUST_ID_057"/>
    <s v="PROD_ID_005"/>
    <x v="31"/>
    <s v="Medium"/>
    <d v="2021-05-03T00:00:00"/>
    <x v="7"/>
    <x v="3"/>
    <x v="1"/>
    <n v="2113"/>
    <n v="4"/>
    <n v="525"/>
    <n v="1109325"/>
    <n v="77652.750000000015"/>
    <n v="1031672.25"/>
    <n v="573.20550000000003"/>
    <n v="8452"/>
    <n v="1023220.25"/>
  </r>
  <r>
    <x v="3"/>
    <x v="6"/>
    <x v="4"/>
    <s v="CUST_ID_141"/>
    <s v="PROD_ID_005"/>
    <x v="31"/>
    <s v="Medium"/>
    <d v="2021-08-14T00:00:00"/>
    <x v="2"/>
    <x v="0"/>
    <x v="1"/>
    <n v="538"/>
    <n v="4"/>
    <n v="450"/>
    <n v="242100"/>
    <n v="16947"/>
    <n v="225153"/>
    <n v="124.992"/>
    <n v="2152"/>
    <n v="223001"/>
  </r>
  <r>
    <x v="3"/>
    <x v="7"/>
    <x v="0"/>
    <s v="CUST_ID_078"/>
    <s v="PROD_ID_001"/>
    <x v="43"/>
    <s v="Medium"/>
    <d v="2021-07-26T00:00:00"/>
    <x v="8"/>
    <x v="0"/>
    <x v="1"/>
    <n v="2617"/>
    <n v="6"/>
    <n v="450"/>
    <n v="1177650"/>
    <n v="82435.500000000015"/>
    <n v="1095214.5"/>
    <n v="608.49900000000002"/>
    <n v="15702"/>
    <n v="1079512.5"/>
  </r>
  <r>
    <x v="3"/>
    <x v="7"/>
    <x v="1"/>
    <s v="CUST_ID_070"/>
    <s v="PROD_ID_002"/>
    <x v="72"/>
    <s v="Medium"/>
    <d v="2021-05-17T00:00:00"/>
    <x v="7"/>
    <x v="3"/>
    <x v="1"/>
    <n v="2042"/>
    <n v="12"/>
    <n v="450"/>
    <n v="918900"/>
    <n v="64323.000000000007"/>
    <n v="854577"/>
    <n v="474.858"/>
    <n v="24504"/>
    <n v="830073"/>
  </r>
  <r>
    <x v="3"/>
    <x v="0"/>
    <x v="1"/>
    <s v="CUST_ID_121"/>
    <s v="PROD_ID_002"/>
    <x v="70"/>
    <s v="Medium"/>
    <d v="2021-06-04T00:00:00"/>
    <x v="11"/>
    <x v="3"/>
    <x v="1"/>
    <n v="538"/>
    <n v="12"/>
    <n v="450"/>
    <n v="242100"/>
    <n v="16947"/>
    <n v="225153"/>
    <n v="124.992"/>
    <n v="6456"/>
    <n v="218697"/>
  </r>
  <r>
    <x v="2"/>
    <x v="7"/>
    <x v="2"/>
    <s v="CUST_ID_054"/>
    <s v="PROD_ID_003"/>
    <x v="34"/>
    <s v="Medium"/>
    <d v="2021-08-03T00:00:00"/>
    <x v="2"/>
    <x v="0"/>
    <x v="1"/>
    <n v="2371"/>
    <n v="148"/>
    <n v="30"/>
    <n v="71130"/>
    <n v="4979.1000000000004"/>
    <n v="66150.899999999994"/>
    <n v="36.753599999999999"/>
    <n v="350908"/>
    <n v="-284757.09999999998"/>
  </r>
  <r>
    <x v="4"/>
    <x v="7"/>
    <x v="3"/>
    <s v="CUST_ID_142"/>
    <s v="PROD_ID_004"/>
    <x v="50"/>
    <s v="Medium"/>
    <d v="2021-09-24T00:00:00"/>
    <x v="0"/>
    <x v="0"/>
    <x v="1"/>
    <n v="3893"/>
    <n v="308"/>
    <n v="18"/>
    <n v="70074"/>
    <n v="4905.18"/>
    <n v="65168.82"/>
    <n v="36.208620000000003"/>
    <n v="1199044"/>
    <n v="-1133875.18"/>
  </r>
  <r>
    <x v="3"/>
    <x v="7"/>
    <x v="3"/>
    <s v="CUST_ID_062"/>
    <s v="PROD_ID_004"/>
    <x v="35"/>
    <s v="Medium"/>
    <d v="2021-04-14T00:00:00"/>
    <x v="10"/>
    <x v="3"/>
    <x v="1"/>
    <n v="1151"/>
    <n v="308"/>
    <n v="450"/>
    <n v="517950"/>
    <n v="36256.5"/>
    <n v="481693.5"/>
    <n v="267.56099999999998"/>
    <n v="354508"/>
    <n v="127185.5"/>
  </r>
  <r>
    <x v="0"/>
    <x v="3"/>
    <x v="5"/>
    <s v="CUST_ID_143"/>
    <s v="PROD_ID_006"/>
    <x v="52"/>
    <s v="Medium"/>
    <d v="2021-06-03T00:00:00"/>
    <x v="11"/>
    <x v="3"/>
    <x v="1"/>
    <n v="1974"/>
    <n v="320"/>
    <n v="188"/>
    <n v="371112"/>
    <n v="25977.840000000004"/>
    <n v="345134.16"/>
    <n v="191.23124999999999"/>
    <n v="631680"/>
    <n v="-286545.84000000003"/>
  </r>
  <r>
    <x v="2"/>
    <x v="0"/>
    <x v="5"/>
    <s v="CUST_ID_065"/>
    <s v="PROD_ID_006"/>
    <x v="37"/>
    <s v="Medium"/>
    <d v="2021-06-30T00:00:00"/>
    <x v="11"/>
    <x v="3"/>
    <x v="1"/>
    <n v="3451"/>
    <n v="320"/>
    <n v="525"/>
    <n v="1811775"/>
    <n v="126824.25000000001"/>
    <n v="1684950.75"/>
    <n v="936.13800000000003"/>
    <n v="1104320"/>
    <n v="580630.75"/>
  </r>
  <r>
    <x v="3"/>
    <x v="4"/>
    <x v="5"/>
    <s v="CUST_ID_144"/>
    <s v="PROD_ID_006"/>
    <x v="42"/>
    <s v="Medium"/>
    <d v="2021-09-20T00:00:00"/>
    <x v="0"/>
    <x v="0"/>
    <x v="1"/>
    <n v="1646"/>
    <n v="320"/>
    <n v="450"/>
    <n v="740700"/>
    <n v="51849.000000000007"/>
    <n v="688851"/>
    <n v="382.78800000000001"/>
    <n v="526720"/>
    <n v="162131"/>
  </r>
  <r>
    <x v="1"/>
    <x v="1"/>
    <x v="4"/>
    <s v="CUST_ID_106"/>
    <s v="PROD_ID_005"/>
    <x v="75"/>
    <s v="Medium"/>
    <d v="2021-01-06T00:00:00"/>
    <x v="1"/>
    <x v="1"/>
    <x v="1"/>
    <n v="588"/>
    <n v="4"/>
    <n v="23"/>
    <n v="13524"/>
    <n v="1081.92"/>
    <n v="12442.08"/>
    <n v="6.7619999999999996"/>
    <n v="2352"/>
    <n v="10090.08"/>
  </r>
  <r>
    <x v="1"/>
    <x v="0"/>
    <x v="0"/>
    <s v="CUST_ID_145"/>
    <s v="PROD_ID_001"/>
    <x v="70"/>
    <s v="Medium"/>
    <d v="2021-01-03T00:00:00"/>
    <x v="1"/>
    <x v="1"/>
    <x v="1"/>
    <n v="3001"/>
    <n v="6"/>
    <n v="23"/>
    <n v="69023"/>
    <n v="5521.84"/>
    <n v="63501.16"/>
    <n v="34.513800000000003"/>
    <n v="18006"/>
    <n v="45495.16"/>
  </r>
  <r>
    <x v="2"/>
    <x v="6"/>
    <x v="0"/>
    <s v="CUST_ID_037"/>
    <s v="PROD_ID_001"/>
    <x v="17"/>
    <s v="Medium"/>
    <d v="2021-08-15T00:00:00"/>
    <x v="2"/>
    <x v="0"/>
    <x v="1"/>
    <n v="774"/>
    <n v="6"/>
    <n v="30"/>
    <n v="23220"/>
    <n v="1857.6000000000001"/>
    <n v="21362.400000000001"/>
    <n v="11.868"/>
    <n v="4644"/>
    <n v="16718.400000000001"/>
  </r>
  <r>
    <x v="3"/>
    <x v="7"/>
    <x v="0"/>
    <s v="CUST_ID_078"/>
    <s v="PROD_ID_001"/>
    <x v="43"/>
    <s v="Medium"/>
    <d v="2021-07-11T00:00:00"/>
    <x v="8"/>
    <x v="0"/>
    <x v="1"/>
    <n v="1874"/>
    <n v="6"/>
    <n v="450"/>
    <n v="843300"/>
    <n v="67464"/>
    <n v="775836"/>
    <n v="431.11200000000002"/>
    <n v="11244"/>
    <n v="764592"/>
  </r>
  <r>
    <x v="1"/>
    <x v="6"/>
    <x v="0"/>
    <s v="CUST_ID_109"/>
    <s v="PROD_ID_001"/>
    <x v="54"/>
    <s v="Medium"/>
    <d v="2021-06-22T00:00:00"/>
    <x v="11"/>
    <x v="3"/>
    <x v="1"/>
    <n v="853"/>
    <n v="6"/>
    <n v="23"/>
    <n v="19619"/>
    <n v="1569.52"/>
    <n v="18049.48"/>
    <n v="9.8117999999999999"/>
    <n v="5118"/>
    <n v="12931.48"/>
  </r>
  <r>
    <x v="2"/>
    <x v="4"/>
    <x v="1"/>
    <s v="CUST_ID_072"/>
    <s v="PROD_ID_002"/>
    <x v="42"/>
    <s v="Medium"/>
    <d v="2021-07-12T00:00:00"/>
    <x v="8"/>
    <x v="0"/>
    <x v="1"/>
    <n v="1511"/>
    <n v="12"/>
    <n v="11"/>
    <n v="16621"/>
    <n v="1329.68"/>
    <n v="15291.32"/>
    <n v="8.1079600000000003"/>
    <n v="18132"/>
    <n v="-2840.6800000000003"/>
  </r>
  <r>
    <x v="2"/>
    <x v="4"/>
    <x v="1"/>
    <s v="CUST_ID_040"/>
    <s v="PROD_ID_002"/>
    <x v="18"/>
    <s v="Medium"/>
    <d v="2021-09-12T00:00:00"/>
    <x v="0"/>
    <x v="0"/>
    <x v="1"/>
    <n v="1634"/>
    <n v="12"/>
    <n v="525"/>
    <n v="857850"/>
    <n v="68628"/>
    <n v="789222"/>
    <n v="438.56400000000002"/>
    <n v="19608"/>
    <n v="769614"/>
  </r>
  <r>
    <x v="2"/>
    <x v="0"/>
    <x v="2"/>
    <s v="CUST_ID_041"/>
    <s v="PROD_ID_003"/>
    <x v="81"/>
    <s v="Medium"/>
    <d v="2021-08-17T00:00:00"/>
    <x v="2"/>
    <x v="0"/>
    <x v="1"/>
    <n v="3488"/>
    <n v="148"/>
    <n v="11"/>
    <n v="38368"/>
    <n v="3069.44"/>
    <n v="35298.559999999998"/>
    <n v="18.721080000000001"/>
    <n v="516224"/>
    <n v="-480925.44"/>
  </r>
  <r>
    <x v="2"/>
    <x v="4"/>
    <x v="3"/>
    <s v="CUST_ID_008"/>
    <s v="PROD_ID_004"/>
    <x v="4"/>
    <s v="Medium"/>
    <d v="2021-02-22T00:00:00"/>
    <x v="3"/>
    <x v="1"/>
    <x v="1"/>
    <n v="689"/>
    <n v="308"/>
    <n v="525"/>
    <n v="361725"/>
    <n v="28938"/>
    <n v="332787"/>
    <n v="184.989"/>
    <n v="212212"/>
    <n v="120575"/>
  </r>
  <r>
    <x v="2"/>
    <x v="4"/>
    <x v="3"/>
    <s v="CUST_ID_008"/>
    <s v="PROD_ID_004"/>
    <x v="4"/>
    <s v="Medium"/>
    <d v="2021-03-20T00:00:00"/>
    <x v="9"/>
    <x v="1"/>
    <x v="1"/>
    <n v="457"/>
    <n v="308"/>
    <n v="525"/>
    <n v="239925"/>
    <n v="19194"/>
    <n v="220731"/>
    <n v="122.682"/>
    <n v="140756"/>
    <n v="79975"/>
  </r>
  <r>
    <x v="2"/>
    <x v="4"/>
    <x v="3"/>
    <s v="CUST_ID_056"/>
    <s v="PROD_ID_004"/>
    <x v="30"/>
    <s v="Medium"/>
    <d v="2021-08-06T00:00:00"/>
    <x v="2"/>
    <x v="0"/>
    <x v="1"/>
    <n v="506"/>
    <n v="308"/>
    <n v="525"/>
    <n v="265650"/>
    <n v="21252"/>
    <n v="244398"/>
    <n v="135.88399999999999"/>
    <n v="155848"/>
    <n v="88550"/>
  </r>
  <r>
    <x v="3"/>
    <x v="3"/>
    <x v="3"/>
    <s v="CUST_ID_063"/>
    <s v="PROD_ID_004"/>
    <x v="36"/>
    <s v="Medium"/>
    <d v="2021-03-20T00:00:00"/>
    <x v="9"/>
    <x v="1"/>
    <x v="1"/>
    <n v="2561"/>
    <n v="308"/>
    <n v="450"/>
    <n v="1152450"/>
    <n v="92196"/>
    <n v="1060254"/>
    <n v="588.98400000000004"/>
    <n v="788788"/>
    <n v="271466"/>
  </r>
  <r>
    <x v="2"/>
    <x v="4"/>
    <x v="5"/>
    <s v="CUST_ID_064"/>
    <s v="PROD_ID_006"/>
    <x v="73"/>
    <s v="Medium"/>
    <d v="2021-04-25T00:00:00"/>
    <x v="10"/>
    <x v="3"/>
    <x v="1"/>
    <n v="3488"/>
    <n v="320"/>
    <n v="11"/>
    <n v="38368"/>
    <n v="3069.44"/>
    <n v="35298.559999999998"/>
    <n v="18.721080000000001"/>
    <n v="1116160"/>
    <n v="-1080861.44"/>
  </r>
  <r>
    <x v="3"/>
    <x v="3"/>
    <x v="5"/>
    <s v="CUST_ID_127"/>
    <s v="PROD_ID_006"/>
    <x v="56"/>
    <s v="Medium"/>
    <d v="2021-06-15T00:00:00"/>
    <x v="11"/>
    <x v="3"/>
    <x v="1"/>
    <n v="2952"/>
    <n v="320"/>
    <n v="450"/>
    <n v="1328400"/>
    <n v="106272"/>
    <n v="1222128"/>
    <n v="678.96"/>
    <n v="944640"/>
    <n v="277488"/>
  </r>
  <r>
    <x v="1"/>
    <x v="1"/>
    <x v="5"/>
    <s v="CUST_ID_082"/>
    <s v="PROD_ID_006"/>
    <x v="92"/>
    <s v="Medium"/>
    <d v="2021-07-27T00:00:00"/>
    <x v="8"/>
    <x v="0"/>
    <x v="1"/>
    <n v="853"/>
    <n v="320"/>
    <n v="23"/>
    <n v="19619"/>
    <n v="1569.52"/>
    <n v="18049.48"/>
    <n v="9.8117999999999999"/>
    <n v="272960"/>
    <n v="-254910.52"/>
  </r>
  <r>
    <x v="3"/>
    <x v="3"/>
    <x v="5"/>
    <s v="CUST_ID_127"/>
    <s v="PROD_ID_006"/>
    <x v="56"/>
    <s v="Medium"/>
    <d v="2021-06-27T00:00:00"/>
    <x v="11"/>
    <x v="3"/>
    <x v="1"/>
    <n v="762"/>
    <n v="320"/>
    <n v="450"/>
    <n v="342900"/>
    <n v="27432"/>
    <n v="315468"/>
    <n v="175.26"/>
    <n v="243840"/>
    <n v="71628"/>
  </r>
  <r>
    <x v="2"/>
    <x v="0"/>
    <x v="3"/>
    <s v="CUST_ID_033"/>
    <s v="PROD_ID_004"/>
    <x v="20"/>
    <s v="Medium"/>
    <d v="2021-05-12T00:00:00"/>
    <x v="7"/>
    <x v="3"/>
    <x v="1"/>
    <n v="524"/>
    <n v="308"/>
    <n v="30"/>
    <n v="15720"/>
    <n v="1257.6000000000001"/>
    <n v="14462.4"/>
    <n v="8.0315999999999992"/>
    <n v="161392"/>
    <n v="-146929.60000000001"/>
  </r>
  <r>
    <x v="2"/>
    <x v="4"/>
    <x v="1"/>
    <s v="CUST_ID_040"/>
    <s v="PROD_ID_002"/>
    <x v="18"/>
    <s v="Medium"/>
    <d v="2021-04-24T00:00:00"/>
    <x v="10"/>
    <x v="3"/>
    <x v="1"/>
    <n v="2900"/>
    <n v="12"/>
    <n v="525"/>
    <n v="1522500"/>
    <n v="137025"/>
    <n v="1385475"/>
    <n v="769.81449999999995"/>
    <n v="34800"/>
    <n v="1350675"/>
  </r>
  <r>
    <x v="3"/>
    <x v="6"/>
    <x v="2"/>
    <s v="CUST_ID_101"/>
    <s v="PROD_ID_003"/>
    <x v="28"/>
    <s v="Medium"/>
    <d v="2021-05-07T00:00:00"/>
    <x v="7"/>
    <x v="3"/>
    <x v="1"/>
    <n v="4552"/>
    <n v="148"/>
    <n v="450"/>
    <n v="2048400"/>
    <n v="184356"/>
    <n v="1864044"/>
    <n v="1035.6255000000001"/>
    <n v="673696"/>
    <n v="1190348"/>
  </r>
  <r>
    <x v="2"/>
    <x v="4"/>
    <x v="2"/>
    <s v="CUST_ID_016"/>
    <s v="PROD_ID_003"/>
    <x v="77"/>
    <s v="Medium"/>
    <d v="2021-06-01T00:00:00"/>
    <x v="11"/>
    <x v="3"/>
    <x v="1"/>
    <n v="1523"/>
    <n v="148"/>
    <n v="525"/>
    <n v="799575"/>
    <n v="71961.75"/>
    <n v="727613.25"/>
    <n v="404.17649999999998"/>
    <n v="225404"/>
    <n v="502209.25"/>
  </r>
  <r>
    <x v="2"/>
    <x v="4"/>
    <x v="5"/>
    <s v="CUST_ID_064"/>
    <s v="PROD_ID_006"/>
    <x v="73"/>
    <s v="Medium"/>
    <d v="2021-08-18T00:00:00"/>
    <x v="2"/>
    <x v="0"/>
    <x v="1"/>
    <n v="2485"/>
    <n v="320"/>
    <n v="525"/>
    <n v="1304625"/>
    <n v="117416.25"/>
    <n v="1187208.75"/>
    <n v="659.61350000000004"/>
    <n v="795200"/>
    <n v="392008.75"/>
  </r>
  <r>
    <x v="4"/>
    <x v="1"/>
    <x v="4"/>
    <s v="CUST_ID_010"/>
    <s v="PROD_ID_005"/>
    <x v="78"/>
    <s v="Medium"/>
    <d v="2021-01-21T00:00:00"/>
    <x v="1"/>
    <x v="1"/>
    <x v="1"/>
    <n v="1896"/>
    <n v="4"/>
    <n v="18"/>
    <n v="34128"/>
    <n v="3071.5200000000004"/>
    <n v="31056.48"/>
    <n v="17.253599999999999"/>
    <n v="7584"/>
    <n v="23472.48"/>
  </r>
  <r>
    <x v="2"/>
    <x v="4"/>
    <x v="1"/>
    <s v="CUST_ID_040"/>
    <s v="PROD_ID_002"/>
    <x v="18"/>
    <s v="Medium"/>
    <d v="2021-08-05T00:00:00"/>
    <x v="2"/>
    <x v="0"/>
    <x v="1"/>
    <n v="1246"/>
    <n v="12"/>
    <n v="30"/>
    <n v="37380"/>
    <n v="3364.2000000000003"/>
    <n v="34015.800000000003"/>
    <n v="18.891599999999997"/>
    <n v="14952"/>
    <n v="19063.800000000003"/>
  </r>
  <r>
    <x v="2"/>
    <x v="1"/>
    <x v="3"/>
    <s v="CUST_ID_034"/>
    <s v="PROD_ID_004"/>
    <x v="76"/>
    <s v="Medium"/>
    <d v="2021-02-13T00:00:00"/>
    <x v="3"/>
    <x v="1"/>
    <x v="1"/>
    <n v="625"/>
    <n v="308"/>
    <n v="11"/>
    <n v="6875"/>
    <n v="618.75000000000011"/>
    <n v="6256.25"/>
    <n v="3.3187699999999998"/>
    <n v="192500"/>
    <n v="-186243.75"/>
  </r>
  <r>
    <x v="2"/>
    <x v="6"/>
    <x v="5"/>
    <s v="CUST_ID_093"/>
    <s v="PROD_ID_006"/>
    <x v="31"/>
    <s v="Medium"/>
    <d v="2021-06-25T00:00:00"/>
    <x v="11"/>
    <x v="3"/>
    <x v="1"/>
    <n v="1246"/>
    <n v="320"/>
    <n v="30"/>
    <n v="37380"/>
    <n v="3364.2000000000003"/>
    <n v="34015.800000000003"/>
    <n v="18.891599999999997"/>
    <n v="398720"/>
    <n v="-364704.2"/>
  </r>
  <r>
    <x v="2"/>
    <x v="5"/>
    <x v="0"/>
    <s v="CUST_ID_099"/>
    <s v="PROD_ID_001"/>
    <x v="69"/>
    <s v="High"/>
    <d v="2021-06-07T00:00:00"/>
    <x v="11"/>
    <x v="3"/>
    <x v="1"/>
    <n v="2776"/>
    <n v="6"/>
    <n v="525"/>
    <n v="1457400"/>
    <n v="145740"/>
    <n v="1311660"/>
    <n v="728.59500000000003"/>
    <n v="16656"/>
    <n v="1295004"/>
  </r>
  <r>
    <x v="3"/>
    <x v="5"/>
    <x v="1"/>
    <s v="CUST_ID_003"/>
    <s v="PROD_ID_002"/>
    <x v="80"/>
    <s v="High"/>
    <d v="2021-04-22T00:00:00"/>
    <x v="10"/>
    <x v="3"/>
    <x v="1"/>
    <n v="709"/>
    <n v="12"/>
    <n v="450"/>
    <n v="319050"/>
    <n v="31905"/>
    <n v="287145"/>
    <n v="159.57"/>
    <n v="8508"/>
    <n v="278637"/>
  </r>
  <r>
    <x v="1"/>
    <x v="4"/>
    <x v="2"/>
    <s v="CUST_ID_096"/>
    <s v="PROD_ID_003"/>
    <x v="89"/>
    <s v="High"/>
    <d v="2021-02-05T00:00:00"/>
    <x v="3"/>
    <x v="1"/>
    <x v="1"/>
    <n v="612"/>
    <n v="148"/>
    <n v="23"/>
    <n v="14076"/>
    <n v="1407.6000000000001"/>
    <n v="12668.4"/>
    <n v="6.8849999999999998"/>
    <n v="90576"/>
    <n v="-77907.600000000006"/>
  </r>
  <r>
    <x v="0"/>
    <x v="3"/>
    <x v="2"/>
    <s v="CUST_ID_015"/>
    <s v="PROD_ID_003"/>
    <x v="59"/>
    <s v="High"/>
    <d v="2021-05-10T00:00:00"/>
    <x v="7"/>
    <x v="3"/>
    <x v="1"/>
    <n v="1915"/>
    <n v="148"/>
    <n v="188"/>
    <n v="360020"/>
    <n v="36002"/>
    <n v="324018"/>
    <n v="179.55"/>
    <n v="283420"/>
    <n v="40598"/>
  </r>
  <r>
    <x v="2"/>
    <x v="2"/>
    <x v="2"/>
    <s v="CUST_ID_028"/>
    <s v="PROD_ID_003"/>
    <x v="86"/>
    <s v="High"/>
    <d v="2021-06-21T00:00:00"/>
    <x v="11"/>
    <x v="3"/>
    <x v="1"/>
    <n v="289"/>
    <n v="148"/>
    <n v="30"/>
    <n v="8670"/>
    <n v="867"/>
    <n v="7803"/>
    <n v="4.3380000000000001"/>
    <n v="42772"/>
    <n v="-34969"/>
  </r>
  <r>
    <x v="3"/>
    <x v="6"/>
    <x v="2"/>
    <s v="CUST_ID_061"/>
    <s v="PROD_ID_003"/>
    <x v="33"/>
    <s v="High"/>
    <d v="2021-01-17T00:00:00"/>
    <x v="1"/>
    <x v="1"/>
    <x v="1"/>
    <n v="1024"/>
    <n v="148"/>
    <n v="450"/>
    <n v="460800"/>
    <n v="46080"/>
    <n v="414720"/>
    <n v="230.31"/>
    <n v="151552"/>
    <n v="263168"/>
  </r>
  <r>
    <x v="0"/>
    <x v="6"/>
    <x v="3"/>
    <s v="CUST_ID_125"/>
    <s v="PROD_ID_004"/>
    <x v="28"/>
    <s v="High"/>
    <d v="2021-01-30T00:00:00"/>
    <x v="1"/>
    <x v="1"/>
    <x v="1"/>
    <n v="409"/>
    <n v="308"/>
    <n v="188"/>
    <n v="76892"/>
    <n v="7689.2000000000007"/>
    <n v="69202.8"/>
    <n v="38.362499999999997"/>
    <n v="125972"/>
    <n v="-56769.2"/>
  </r>
  <r>
    <x v="3"/>
    <x v="0"/>
    <x v="3"/>
    <s v="CUST_ID_017"/>
    <s v="PROD_ID_004"/>
    <x v="84"/>
    <s v="High"/>
    <d v="2021-01-20T00:00:00"/>
    <x v="1"/>
    <x v="1"/>
    <x v="1"/>
    <n v="518"/>
    <n v="308"/>
    <n v="450"/>
    <n v="233100"/>
    <n v="23310"/>
    <n v="209790"/>
    <n v="116.64"/>
    <n v="159544"/>
    <n v="50246"/>
  </r>
  <r>
    <x v="3"/>
    <x v="4"/>
    <x v="5"/>
    <s v="CUST_ID_144"/>
    <s v="PROD_ID_006"/>
    <x v="42"/>
    <s v="High"/>
    <d v="2021-08-09T00:00:00"/>
    <x v="2"/>
    <x v="0"/>
    <x v="1"/>
    <n v="3592"/>
    <n v="320"/>
    <n v="450"/>
    <n v="1616400"/>
    <n v="161640"/>
    <n v="1454760"/>
    <n v="808.11"/>
    <n v="1149440"/>
    <n v="305320"/>
  </r>
  <r>
    <x v="4"/>
    <x v="1"/>
    <x v="5"/>
    <s v="CUST_ID_098"/>
    <s v="PROD_ID_006"/>
    <x v="41"/>
    <s v="High"/>
    <d v="2021-05-02T00:00:00"/>
    <x v="7"/>
    <x v="3"/>
    <x v="1"/>
    <n v="3089"/>
    <n v="320"/>
    <n v="18"/>
    <n v="55602"/>
    <n v="5560.2000000000007"/>
    <n v="50041.8"/>
    <n v="27.799199999999999"/>
    <n v="988480"/>
    <n v="-938438.2"/>
  </r>
  <r>
    <x v="2"/>
    <x v="3"/>
    <x v="5"/>
    <s v="CUST_ID_047"/>
    <s v="PROD_ID_006"/>
    <x v="22"/>
    <s v="High"/>
    <d v="2021-01-16T00:00:00"/>
    <x v="1"/>
    <x v="1"/>
    <x v="1"/>
    <n v="848"/>
    <n v="320"/>
    <n v="525"/>
    <n v="445200"/>
    <n v="44520"/>
    <n v="400680"/>
    <n v="222.70500000000001"/>
    <n v="271360"/>
    <n v="129320"/>
  </r>
  <r>
    <x v="2"/>
    <x v="2"/>
    <x v="1"/>
    <s v="CUST_ID_052"/>
    <s v="PROD_ID_002"/>
    <x v="27"/>
    <s v="High"/>
    <d v="2021-09-16T00:00:00"/>
    <x v="0"/>
    <x v="0"/>
    <x v="1"/>
    <n v="3038"/>
    <n v="12"/>
    <n v="11"/>
    <n v="33418"/>
    <n v="3675.9799999999996"/>
    <n v="29742.02"/>
    <n v="15.77436"/>
    <n v="36456"/>
    <n v="-6713.98"/>
  </r>
  <r>
    <x v="2"/>
    <x v="0"/>
    <x v="3"/>
    <s v="CUST_ID_033"/>
    <s v="PROD_ID_004"/>
    <x v="20"/>
    <s v="High"/>
    <d v="2021-02-06T00:00:00"/>
    <x v="3"/>
    <x v="1"/>
    <x v="1"/>
    <n v="1895"/>
    <n v="308"/>
    <n v="11"/>
    <n v="20845"/>
    <n v="2292.9499999999998"/>
    <n v="18552.05"/>
    <n v="9.8371700000000004"/>
    <n v="583660"/>
    <n v="-565107.94999999995"/>
  </r>
  <r>
    <x v="3"/>
    <x v="2"/>
    <x v="4"/>
    <s v="CUST_ID_020"/>
    <s v="PROD_ID_005"/>
    <x v="8"/>
    <s v="High"/>
    <d v="2021-08-31T00:00:00"/>
    <x v="2"/>
    <x v="0"/>
    <x v="1"/>
    <n v="3373"/>
    <n v="4"/>
    <n v="450"/>
    <n v="1517850"/>
    <n v="166963.5"/>
    <n v="1350886.5"/>
    <n v="750.53700000000003"/>
    <n v="13492"/>
    <n v="1337394.5"/>
  </r>
  <r>
    <x v="0"/>
    <x v="6"/>
    <x v="4"/>
    <s v="CUST_ID_085"/>
    <s v="PROD_ID_005"/>
    <x v="54"/>
    <s v="High"/>
    <d v="2021-04-05T00:00:00"/>
    <x v="10"/>
    <x v="3"/>
    <x v="1"/>
    <n v="2929"/>
    <n v="4"/>
    <n v="188"/>
    <n v="550652"/>
    <n v="60571.72"/>
    <n v="490080.28"/>
    <n v="271.56124999999997"/>
    <n v="11716"/>
    <n v="478364.28"/>
  </r>
  <r>
    <x v="2"/>
    <x v="6"/>
    <x v="0"/>
    <s v="CUST_ID_037"/>
    <s v="PROD_ID_001"/>
    <x v="17"/>
    <s v="High"/>
    <d v="2021-04-14T00:00:00"/>
    <x v="10"/>
    <x v="3"/>
    <x v="1"/>
    <n v="919"/>
    <n v="6"/>
    <n v="525"/>
    <n v="482475"/>
    <n v="53072.25"/>
    <n v="429402.75"/>
    <n v="238.60900000000001"/>
    <n v="5514"/>
    <n v="423888.75"/>
  </r>
  <r>
    <x v="1"/>
    <x v="4"/>
    <x v="0"/>
    <s v="CUST_ID_112"/>
    <s v="PROD_ID_001"/>
    <x v="62"/>
    <s v="High"/>
    <d v="2021-08-30T00:00:00"/>
    <x v="2"/>
    <x v="0"/>
    <x v="1"/>
    <n v="2588"/>
    <n v="6"/>
    <n v="23"/>
    <n v="59524"/>
    <n v="6547.64"/>
    <n v="52976.36"/>
    <n v="28.795950000000001"/>
    <n v="15528"/>
    <n v="37448.36"/>
  </r>
  <r>
    <x v="4"/>
    <x v="2"/>
    <x v="1"/>
    <s v="CUST_ID_060"/>
    <s v="PROD_ID_002"/>
    <x v="32"/>
    <s v="High"/>
    <d v="2021-04-20T00:00:00"/>
    <x v="10"/>
    <x v="3"/>
    <x v="1"/>
    <n v="4831"/>
    <n v="12"/>
    <n v="18"/>
    <n v="86958"/>
    <n v="9565.3799999999992"/>
    <n v="77392.62"/>
    <n v="42.997680000000003"/>
    <n v="57972"/>
    <n v="19420.619999999995"/>
  </r>
  <r>
    <x v="2"/>
    <x v="6"/>
    <x v="5"/>
    <s v="CUST_ID_093"/>
    <s v="PROD_ID_006"/>
    <x v="31"/>
    <s v="High"/>
    <d v="2021-04-26T00:00:00"/>
    <x v="10"/>
    <x v="3"/>
    <x v="1"/>
    <n v="3155"/>
    <n v="320"/>
    <n v="30"/>
    <n v="94650"/>
    <n v="10411.5"/>
    <n v="84238.5"/>
    <n v="46.796199999999999"/>
    <n v="1009600"/>
    <n v="-925361.5"/>
  </r>
  <r>
    <x v="2"/>
    <x v="5"/>
    <x v="0"/>
    <s v="CUST_ID_043"/>
    <s v="PROD_ID_001"/>
    <x v="19"/>
    <s v="High"/>
    <d v="2021-05-07T00:00:00"/>
    <x v="7"/>
    <x v="3"/>
    <x v="1"/>
    <n v="3281"/>
    <n v="6"/>
    <n v="11"/>
    <n v="36091"/>
    <n v="4330.92"/>
    <n v="31760.080000000002"/>
    <n v="16.841439999999999"/>
    <n v="19686"/>
    <n v="12074.080000000002"/>
  </r>
  <r>
    <x v="3"/>
    <x v="2"/>
    <x v="1"/>
    <s v="CUST_ID_116"/>
    <s v="PROD_ID_002"/>
    <x v="49"/>
    <s v="High"/>
    <d v="2021-09-03T00:00:00"/>
    <x v="0"/>
    <x v="0"/>
    <x v="1"/>
    <n v="4194"/>
    <n v="12"/>
    <n v="450"/>
    <n v="1887300"/>
    <n v="226476"/>
    <n v="1660824"/>
    <n v="922.68"/>
    <n v="50328"/>
    <n v="1610496"/>
  </r>
  <r>
    <x v="2"/>
    <x v="4"/>
    <x v="1"/>
    <s v="CUST_ID_040"/>
    <s v="PROD_ID_002"/>
    <x v="18"/>
    <s v="High"/>
    <d v="2021-05-02T00:00:00"/>
    <x v="7"/>
    <x v="3"/>
    <x v="1"/>
    <n v="1086"/>
    <n v="12"/>
    <n v="30"/>
    <n v="32580"/>
    <n v="3909.6"/>
    <n v="28670.400000000001"/>
    <n v="15.928000000000001"/>
    <n v="13032"/>
    <n v="15638.400000000001"/>
  </r>
  <r>
    <x v="3"/>
    <x v="5"/>
    <x v="1"/>
    <s v="CUST_ID_003"/>
    <s v="PROD_ID_002"/>
    <x v="80"/>
    <s v="High"/>
    <d v="2021-04-23T00:00:00"/>
    <x v="10"/>
    <x v="3"/>
    <x v="1"/>
    <n v="2580"/>
    <n v="12"/>
    <n v="450"/>
    <n v="1161000"/>
    <n v="139320"/>
    <n v="1021680"/>
    <n v="567.6"/>
    <n v="30960"/>
    <n v="990720"/>
  </r>
  <r>
    <x v="2"/>
    <x v="4"/>
    <x v="1"/>
    <s v="CUST_ID_040"/>
    <s v="PROD_ID_002"/>
    <x v="18"/>
    <s v="High"/>
    <d v="2021-03-27T00:00:00"/>
    <x v="9"/>
    <x v="1"/>
    <x v="1"/>
    <n v="1436"/>
    <n v="12"/>
    <n v="525"/>
    <n v="753900"/>
    <n v="90468"/>
    <n v="663432"/>
    <n v="368.67599999999999"/>
    <n v="17232"/>
    <n v="646200"/>
  </r>
  <r>
    <x v="2"/>
    <x v="4"/>
    <x v="1"/>
    <s v="CUST_ID_040"/>
    <s v="PROD_ID_002"/>
    <x v="18"/>
    <s v="High"/>
    <d v="2021-07-22T00:00:00"/>
    <x v="8"/>
    <x v="0"/>
    <x v="1"/>
    <n v="1480"/>
    <n v="12"/>
    <n v="30"/>
    <n v="44400"/>
    <n v="5328"/>
    <n v="39072"/>
    <n v="21.700800000000001"/>
    <n v="17760"/>
    <n v="21312"/>
  </r>
  <r>
    <x v="2"/>
    <x v="3"/>
    <x v="2"/>
    <s v="CUST_ID_031"/>
    <s v="PROD_ID_003"/>
    <x v="15"/>
    <s v="High"/>
    <d v="2021-02-06T00:00:00"/>
    <x v="3"/>
    <x v="1"/>
    <x v="1"/>
    <n v="1674"/>
    <n v="148"/>
    <n v="525"/>
    <n v="878850"/>
    <n v="105462"/>
    <n v="773388"/>
    <n v="429.66"/>
    <n v="247752"/>
    <n v="525636"/>
  </r>
  <r>
    <x v="4"/>
    <x v="7"/>
    <x v="3"/>
    <s v="CUST_ID_142"/>
    <s v="PROD_ID_004"/>
    <x v="50"/>
    <s v="High"/>
    <d v="2021-01-04T00:00:00"/>
    <x v="1"/>
    <x v="1"/>
    <x v="1"/>
    <n v="2531"/>
    <n v="308"/>
    <n v="18"/>
    <n v="45558"/>
    <n v="5466.96"/>
    <n v="40091.040000000001"/>
    <n v="22.271039999999999"/>
    <n v="779548"/>
    <n v="-739456.96"/>
  </r>
  <r>
    <x v="2"/>
    <x v="0"/>
    <x v="3"/>
    <s v="CUST_ID_033"/>
    <s v="PROD_ID_004"/>
    <x v="20"/>
    <s v="High"/>
    <d v="2021-01-07T00:00:00"/>
    <x v="1"/>
    <x v="1"/>
    <x v="1"/>
    <n v="1183"/>
    <n v="308"/>
    <n v="525"/>
    <n v="621075"/>
    <n v="74529"/>
    <n v="546546"/>
    <n v="303.68799999999999"/>
    <n v="364364"/>
    <n v="182182"/>
  </r>
  <r>
    <x v="2"/>
    <x v="0"/>
    <x v="5"/>
    <s v="CUST_ID_065"/>
    <s v="PROD_ID_006"/>
    <x v="37"/>
    <s v="High"/>
    <d v="2021-01-13T00:00:00"/>
    <x v="1"/>
    <x v="1"/>
    <x v="1"/>
    <n v="4106"/>
    <n v="320"/>
    <n v="11"/>
    <n v="45166"/>
    <n v="5419.92"/>
    <n v="39746.080000000002"/>
    <n v="21.076439999999998"/>
    <n v="1313920"/>
    <n v="-1274173.92"/>
  </r>
  <r>
    <x v="2"/>
    <x v="3"/>
    <x v="5"/>
    <s v="CUST_ID_047"/>
    <s v="PROD_ID_006"/>
    <x v="22"/>
    <s v="High"/>
    <d v="2021-04-13T00:00:00"/>
    <x v="10"/>
    <x v="3"/>
    <x v="1"/>
    <n v="3281"/>
    <n v="320"/>
    <n v="11"/>
    <n v="36091"/>
    <n v="4330.92"/>
    <n v="31760.080000000002"/>
    <n v="16.841439999999999"/>
    <n v="1049920"/>
    <n v="-1018159.92"/>
  </r>
  <r>
    <x v="2"/>
    <x v="6"/>
    <x v="4"/>
    <s v="CUST_ID_021"/>
    <s v="PROD_ID_005"/>
    <x v="9"/>
    <s v="High"/>
    <d v="2021-08-11T00:00:00"/>
    <x v="2"/>
    <x v="0"/>
    <x v="1"/>
    <n v="3026"/>
    <n v="4"/>
    <n v="30"/>
    <n v="90780"/>
    <n v="10893.6"/>
    <n v="79886.399999999994"/>
    <n v="44.378399999999992"/>
    <n v="12104"/>
    <n v="67782.399999999994"/>
  </r>
  <r>
    <x v="2"/>
    <x v="1"/>
    <x v="4"/>
    <s v="CUST_ID_042"/>
    <s v="PROD_ID_005"/>
    <x v="32"/>
    <s v="High"/>
    <d v="2021-04-08T00:00:00"/>
    <x v="10"/>
    <x v="3"/>
    <x v="1"/>
    <n v="1108"/>
    <n v="4"/>
    <n v="525"/>
    <n v="581700"/>
    <n v="75621"/>
    <n v="506079"/>
    <n v="281.05349999999999"/>
    <n v="4432"/>
    <n v="501647"/>
  </r>
  <r>
    <x v="2"/>
    <x v="5"/>
    <x v="0"/>
    <s v="CUST_ID_099"/>
    <s v="PROD_ID_001"/>
    <x v="69"/>
    <s v="High"/>
    <d v="2021-05-21T00:00:00"/>
    <x v="7"/>
    <x v="3"/>
    <x v="1"/>
    <n v="1558"/>
    <n v="6"/>
    <n v="11"/>
    <n v="17138"/>
    <n v="2227.94"/>
    <n v="14910.06"/>
    <n v="7.90482"/>
    <n v="9348"/>
    <n v="5562.0599999999995"/>
  </r>
  <r>
    <x v="2"/>
    <x v="0"/>
    <x v="0"/>
    <s v="CUST_ID_049"/>
    <s v="PROD_ID_001"/>
    <x v="24"/>
    <s v="High"/>
    <d v="2021-03-21T00:00:00"/>
    <x v="9"/>
    <x v="1"/>
    <x v="1"/>
    <n v="2706"/>
    <n v="6"/>
    <n v="30"/>
    <n v="81180"/>
    <n v="10553.4"/>
    <n v="70626.600000000006"/>
    <n v="39.237000000000002"/>
    <n v="16236"/>
    <n v="54390.600000000006"/>
  </r>
  <r>
    <x v="3"/>
    <x v="6"/>
    <x v="1"/>
    <s v="CUST_ID_069"/>
    <s v="PROD_ID_002"/>
    <x v="31"/>
    <s v="High"/>
    <d v="2021-06-23T00:00:00"/>
    <x v="11"/>
    <x v="3"/>
    <x v="1"/>
    <n v="968"/>
    <n v="12"/>
    <n v="450"/>
    <n v="435600"/>
    <n v="56628"/>
    <n v="378972"/>
    <n v="210.62700000000001"/>
    <n v="11616"/>
    <n v="367356"/>
  </r>
  <r>
    <x v="2"/>
    <x v="5"/>
    <x v="1"/>
    <s v="CUST_ID_027"/>
    <s v="PROD_ID_002"/>
    <x v="58"/>
    <s v="High"/>
    <d v="2021-01-22T00:00:00"/>
    <x v="1"/>
    <x v="1"/>
    <x v="1"/>
    <n v="3169"/>
    <n v="12"/>
    <n v="30"/>
    <n v="95070"/>
    <n v="12359.1"/>
    <n v="82710.899999999994"/>
    <n v="45.953400000000002"/>
    <n v="38028"/>
    <n v="44682.899999999994"/>
  </r>
  <r>
    <x v="1"/>
    <x v="7"/>
    <x v="1"/>
    <s v="CUST_ID_006"/>
    <s v="PROD_ID_002"/>
    <x v="55"/>
    <s v="High"/>
    <d v="2021-01-29T00:00:00"/>
    <x v="1"/>
    <x v="1"/>
    <x v="1"/>
    <n v="1878"/>
    <n v="12"/>
    <n v="23"/>
    <n v="43194"/>
    <n v="5615.22"/>
    <n v="37578.78"/>
    <n v="20.423249999999999"/>
    <n v="22536"/>
    <n v="15042.779999999999"/>
  </r>
  <r>
    <x v="2"/>
    <x v="4"/>
    <x v="2"/>
    <s v="CUST_ID_016"/>
    <s v="PROD_ID_003"/>
    <x v="77"/>
    <s v="High"/>
    <d v="2021-03-05T00:00:00"/>
    <x v="9"/>
    <x v="1"/>
    <x v="1"/>
    <n v="3158"/>
    <n v="148"/>
    <n v="525"/>
    <n v="1657950"/>
    <n v="215533.5"/>
    <n v="1442416.5"/>
    <n v="801.44399999999996"/>
    <n v="467384"/>
    <n v="975032.5"/>
  </r>
  <r>
    <x v="4"/>
    <x v="2"/>
    <x v="2"/>
    <s v="CUST_ID_124"/>
    <s v="PROD_ID_003"/>
    <x v="85"/>
    <s v="High"/>
    <d v="2021-02-14T00:00:00"/>
    <x v="3"/>
    <x v="1"/>
    <x v="1"/>
    <n v="492"/>
    <n v="148"/>
    <n v="18"/>
    <n v="8856"/>
    <n v="1151.28"/>
    <n v="7704.72"/>
    <n v="4.2803999999999993"/>
    <n v="72816"/>
    <n v="-65111.28"/>
  </r>
  <r>
    <x v="4"/>
    <x v="1"/>
    <x v="2"/>
    <s v="CUST_ID_114"/>
    <s v="PROD_ID_003"/>
    <x v="47"/>
    <s v="High"/>
    <d v="2021-08-17T00:00:00"/>
    <x v="2"/>
    <x v="0"/>
    <x v="1"/>
    <n v="1216"/>
    <n v="148"/>
    <n v="18"/>
    <n v="21888"/>
    <n v="2845.44"/>
    <n v="19042.560000000001"/>
    <n v="10.575719999999999"/>
    <n v="179968"/>
    <n v="-160925.44"/>
  </r>
  <r>
    <x v="1"/>
    <x v="0"/>
    <x v="3"/>
    <s v="CUST_ID_137"/>
    <s v="PROD_ID_004"/>
    <x v="46"/>
    <s v="High"/>
    <d v="2021-06-21T00:00:00"/>
    <x v="11"/>
    <x v="3"/>
    <x v="1"/>
    <n v="1878"/>
    <n v="308"/>
    <n v="23"/>
    <n v="43194"/>
    <n v="5615.22"/>
    <n v="37578.78"/>
    <n v="20.423249999999999"/>
    <n v="578424"/>
    <n v="-540845.22"/>
  </r>
  <r>
    <x v="2"/>
    <x v="0"/>
    <x v="5"/>
    <s v="CUST_ID_065"/>
    <s v="PROD_ID_006"/>
    <x v="37"/>
    <s v="High"/>
    <d v="2021-02-17T00:00:00"/>
    <x v="3"/>
    <x v="1"/>
    <x v="1"/>
    <n v="1428"/>
    <n v="320"/>
    <n v="11"/>
    <n v="15708"/>
    <n v="2042.04"/>
    <n v="13665.96"/>
    <n v="7.2471000000000005"/>
    <n v="456960"/>
    <n v="-443294.04"/>
  </r>
  <r>
    <x v="4"/>
    <x v="2"/>
    <x v="5"/>
    <s v="CUST_ID_076"/>
    <s v="PROD_ID_006"/>
    <x v="85"/>
    <s v="High"/>
    <d v="2021-01-22T00:00:00"/>
    <x v="1"/>
    <x v="1"/>
    <x v="1"/>
    <n v="492"/>
    <n v="320"/>
    <n v="18"/>
    <n v="8856"/>
    <n v="1151.28"/>
    <n v="7704.72"/>
    <n v="4.2803999999999993"/>
    <n v="157440"/>
    <n v="-149735.28"/>
  </r>
  <r>
    <x v="2"/>
    <x v="0"/>
    <x v="4"/>
    <s v="CUST_ID_057"/>
    <s v="PROD_ID_005"/>
    <x v="31"/>
    <s v="High"/>
    <d v="2021-09-21T00:00:00"/>
    <x v="0"/>
    <x v="0"/>
    <x v="1"/>
    <n v="2092"/>
    <n v="4"/>
    <n v="30"/>
    <n v="62760"/>
    <n v="8786.4"/>
    <n v="53973.599999999999"/>
    <n v="29.979599999999998"/>
    <n v="8368"/>
    <n v="45605.599999999999"/>
  </r>
  <r>
    <x v="1"/>
    <x v="1"/>
    <x v="1"/>
    <s v="CUST_ID_026"/>
    <s v="PROD_ID_002"/>
    <x v="13"/>
    <s v="High"/>
    <d v="2021-02-20T00:00:00"/>
    <x v="3"/>
    <x v="1"/>
    <x v="1"/>
    <n v="2120"/>
    <n v="12"/>
    <n v="23"/>
    <n v="48760"/>
    <n v="6826.4"/>
    <n v="41933.599999999999"/>
    <n v="22.7943"/>
    <n v="25440"/>
    <n v="16493.599999999999"/>
  </r>
  <r>
    <x v="3"/>
    <x v="7"/>
    <x v="4"/>
    <s v="CUST_ID_134"/>
    <s v="PROD_ID_005"/>
    <x v="25"/>
    <s v="High"/>
    <d v="2021-04-25T00:00:00"/>
    <x v="10"/>
    <x v="3"/>
    <x v="1"/>
    <n v="1212"/>
    <n v="4"/>
    <n v="450"/>
    <n v="545400"/>
    <n v="76356"/>
    <n v="469044"/>
    <n v="260.58"/>
    <n v="4848"/>
    <n v="464196"/>
  </r>
  <r>
    <x v="1"/>
    <x v="1"/>
    <x v="4"/>
    <s v="CUST_ID_090"/>
    <s v="PROD_ID_005"/>
    <x v="47"/>
    <s v="High"/>
    <d v="2021-06-03T00:00:00"/>
    <x v="11"/>
    <x v="3"/>
    <x v="1"/>
    <n v="2760"/>
    <n v="4"/>
    <n v="23"/>
    <n v="63480"/>
    <n v="8887.2000000000007"/>
    <n v="54592.800000000003"/>
    <n v="29.67"/>
    <n v="11040"/>
    <n v="43552.800000000003"/>
  </r>
  <r>
    <x v="2"/>
    <x v="5"/>
    <x v="0"/>
    <s v="CUST_ID_043"/>
    <s v="PROD_ID_001"/>
    <x v="19"/>
    <s v="High"/>
    <d v="2021-08-17T00:00:00"/>
    <x v="2"/>
    <x v="0"/>
    <x v="1"/>
    <n v="240"/>
    <n v="6"/>
    <n v="525"/>
    <n v="126000"/>
    <n v="17640"/>
    <n v="108360"/>
    <n v="60.2"/>
    <n v="1440"/>
    <n v="106920"/>
  </r>
  <r>
    <x v="1"/>
    <x v="5"/>
    <x v="0"/>
    <s v="CUST_ID_131"/>
    <s v="PROD_ID_001"/>
    <x v="61"/>
    <s v="High"/>
    <d v="2021-02-04T00:00:00"/>
    <x v="3"/>
    <x v="1"/>
    <x v="1"/>
    <n v="2760"/>
    <n v="6"/>
    <n v="23"/>
    <n v="63480"/>
    <n v="8887.2000000000007"/>
    <n v="54592.800000000003"/>
    <n v="29.67"/>
    <n v="16560"/>
    <n v="38032.800000000003"/>
  </r>
  <r>
    <x v="2"/>
    <x v="0"/>
    <x v="2"/>
    <s v="CUST_ID_041"/>
    <s v="PROD_ID_003"/>
    <x v="81"/>
    <s v="High"/>
    <d v="2021-09-14T00:00:00"/>
    <x v="0"/>
    <x v="0"/>
    <x v="1"/>
    <n v="727"/>
    <n v="148"/>
    <n v="30"/>
    <n v="21810"/>
    <n v="3053.4"/>
    <n v="18756.599999999999"/>
    <n v="10.423200000000001"/>
    <n v="107596"/>
    <n v="-88839.4"/>
  </r>
  <r>
    <x v="2"/>
    <x v="1"/>
    <x v="3"/>
    <s v="CUST_ID_034"/>
    <s v="PROD_ID_004"/>
    <x v="76"/>
    <s v="High"/>
    <d v="2021-02-07T00:00:00"/>
    <x v="3"/>
    <x v="1"/>
    <x v="1"/>
    <n v="3484"/>
    <n v="308"/>
    <n v="11"/>
    <n v="38324"/>
    <n v="5365.3600000000006"/>
    <n v="32958.639999999999"/>
    <n v="17.47606"/>
    <n v="1073072"/>
    <n v="-1040113.36"/>
  </r>
  <r>
    <x v="3"/>
    <x v="3"/>
    <x v="3"/>
    <s v="CUST_ID_063"/>
    <s v="PROD_ID_004"/>
    <x v="36"/>
    <s v="High"/>
    <d v="2021-08-25T00:00:00"/>
    <x v="2"/>
    <x v="0"/>
    <x v="1"/>
    <n v="1795"/>
    <n v="308"/>
    <n v="450"/>
    <n v="807750"/>
    <n v="113085.00000000001"/>
    <n v="694665"/>
    <n v="385.96800000000002"/>
    <n v="552860"/>
    <n v="141805"/>
  </r>
  <r>
    <x v="3"/>
    <x v="5"/>
    <x v="3"/>
    <s v="CUST_ID_075"/>
    <s v="PROD_ID_004"/>
    <x v="69"/>
    <s v="High"/>
    <d v="2021-05-16T00:00:00"/>
    <x v="7"/>
    <x v="3"/>
    <x v="1"/>
    <n v="1212"/>
    <n v="308"/>
    <n v="450"/>
    <n v="545400"/>
    <n v="76356"/>
    <n v="469044"/>
    <n v="260.58"/>
    <n v="373296"/>
    <n v="95748"/>
  </r>
  <r>
    <x v="4"/>
    <x v="1"/>
    <x v="5"/>
    <s v="CUST_ID_018"/>
    <s v="PROD_ID_006"/>
    <x v="65"/>
    <s v="High"/>
    <d v="2021-06-16T00:00:00"/>
    <x v="11"/>
    <x v="3"/>
    <x v="1"/>
    <n v="3497"/>
    <n v="320"/>
    <n v="18"/>
    <n v="62946"/>
    <n v="8812.44"/>
    <n v="54133.56"/>
    <n v="30.072479999999999"/>
    <n v="1119040"/>
    <n v="-1064906.44"/>
  </r>
  <r>
    <x v="0"/>
    <x v="6"/>
    <x v="4"/>
    <s v="CUST_ID_085"/>
    <s v="PROD_ID_005"/>
    <x v="54"/>
    <s v="High"/>
    <d v="2021-06-02T00:00:00"/>
    <x v="11"/>
    <x v="3"/>
    <x v="1"/>
    <n v="1409"/>
    <n v="4"/>
    <n v="188"/>
    <n v="264892"/>
    <n v="39733.799999999996"/>
    <n v="225158.2"/>
    <n v="124.7375"/>
    <n v="5636"/>
    <n v="219522.2"/>
  </r>
  <r>
    <x v="0"/>
    <x v="1"/>
    <x v="4"/>
    <s v="CUST_ID_058"/>
    <s v="PROD_ID_005"/>
    <x v="75"/>
    <s v="High"/>
    <d v="2021-06-18T00:00:00"/>
    <x v="11"/>
    <x v="3"/>
    <x v="1"/>
    <n v="1302"/>
    <n v="4"/>
    <n v="188"/>
    <n v="244776"/>
    <n v="36716.400000000001"/>
    <n v="208059.6"/>
    <n v="115.28125"/>
    <n v="5208"/>
    <n v="202851.6"/>
  </r>
  <r>
    <x v="3"/>
    <x v="1"/>
    <x v="0"/>
    <s v="CUST_ID_050"/>
    <s v="PROD_ID_001"/>
    <x v="25"/>
    <s v="High"/>
    <d v="2021-01-14T00:00:00"/>
    <x v="1"/>
    <x v="1"/>
    <x v="1"/>
    <n v="655"/>
    <n v="6"/>
    <n v="450"/>
    <n v="294750"/>
    <n v="44212.5"/>
    <n v="250537.5"/>
    <n v="139.22999999999999"/>
    <n v="3930"/>
    <n v="246607.5"/>
  </r>
  <r>
    <x v="2"/>
    <x v="4"/>
    <x v="1"/>
    <s v="CUST_ID_072"/>
    <s v="PROD_ID_002"/>
    <x v="42"/>
    <s v="High"/>
    <d v="2021-05-18T00:00:00"/>
    <x v="7"/>
    <x v="3"/>
    <x v="1"/>
    <n v="1390"/>
    <n v="12"/>
    <n v="30"/>
    <n v="41700"/>
    <n v="6255"/>
    <n v="35445"/>
    <n v="19.686"/>
    <n v="16680"/>
    <n v="18765"/>
  </r>
  <r>
    <x v="2"/>
    <x v="4"/>
    <x v="1"/>
    <s v="CUST_ID_040"/>
    <s v="PROD_ID_002"/>
    <x v="18"/>
    <s v="High"/>
    <d v="2021-03-21T00:00:00"/>
    <x v="9"/>
    <x v="1"/>
    <x v="1"/>
    <n v="3042"/>
    <n v="12"/>
    <n v="11"/>
    <n v="33462"/>
    <n v="5019.3"/>
    <n v="28442.7"/>
    <n v="15.08325"/>
    <n v="36504"/>
    <n v="-8061.2999999999993"/>
  </r>
  <r>
    <x v="4"/>
    <x v="2"/>
    <x v="2"/>
    <s v="CUST_ID_124"/>
    <s v="PROD_ID_003"/>
    <x v="85"/>
    <s v="High"/>
    <d v="2021-02-07T00:00:00"/>
    <x v="3"/>
    <x v="1"/>
    <x v="1"/>
    <n v="600"/>
    <n v="148"/>
    <n v="18"/>
    <n v="10800"/>
    <n v="1620"/>
    <n v="9180"/>
    <n v="5.0999999999999996"/>
    <n v="88800"/>
    <n v="-79620"/>
  </r>
  <r>
    <x v="4"/>
    <x v="2"/>
    <x v="2"/>
    <s v="CUST_ID_132"/>
    <s v="PROD_ID_003"/>
    <x v="79"/>
    <s v="High"/>
    <d v="2021-05-12T00:00:00"/>
    <x v="7"/>
    <x v="3"/>
    <x v="1"/>
    <n v="1097"/>
    <n v="148"/>
    <n v="18"/>
    <n v="19746"/>
    <n v="2961.9"/>
    <n v="16784.099999999999"/>
    <n v="9.3227999999999991"/>
    <n v="162356"/>
    <n v="-145571.9"/>
  </r>
  <r>
    <x v="2"/>
    <x v="3"/>
    <x v="3"/>
    <s v="CUST_ID_055"/>
    <s v="PROD_ID_004"/>
    <x v="29"/>
    <s v="High"/>
    <d v="2021-06-24T00:00:00"/>
    <x v="11"/>
    <x v="3"/>
    <x v="1"/>
    <n v="1039"/>
    <n v="308"/>
    <n v="30"/>
    <n v="31170"/>
    <n v="4675.5"/>
    <n v="26494.5"/>
    <n v="14.7135"/>
    <n v="320012"/>
    <n v="-293517.5"/>
  </r>
  <r>
    <x v="1"/>
    <x v="3"/>
    <x v="3"/>
    <s v="CUST_ID_039"/>
    <s v="PROD_ID_004"/>
    <x v="60"/>
    <s v="High"/>
    <d v="2021-04-09T00:00:00"/>
    <x v="10"/>
    <x v="3"/>
    <x v="1"/>
    <n v="1410"/>
    <n v="308"/>
    <n v="23"/>
    <n v="32430"/>
    <n v="4864.5"/>
    <n v="27565.5"/>
    <n v="14.981249999999999"/>
    <n v="434280"/>
    <n v="-406714.5"/>
  </r>
  <r>
    <x v="2"/>
    <x v="0"/>
    <x v="0"/>
    <s v="CUST_ID_049"/>
    <s v="PROD_ID_001"/>
    <x v="24"/>
    <s v="High"/>
    <d v="2021-04-22T00:00:00"/>
    <x v="10"/>
    <x v="3"/>
    <x v="1"/>
    <n v="1642"/>
    <n v="6"/>
    <n v="11"/>
    <n v="18062"/>
    <n v="2709.3"/>
    <n v="15352.7"/>
    <n v="8.1395999999999997"/>
    <n v="9852"/>
    <n v="5500.7000000000007"/>
  </r>
  <r>
    <x v="2"/>
    <x v="2"/>
    <x v="1"/>
    <s v="CUST_ID_004"/>
    <s v="PROD_ID_002"/>
    <x v="2"/>
    <s v="High"/>
    <d v="2021-01-28T00:00:00"/>
    <x v="1"/>
    <x v="1"/>
    <x v="1"/>
    <n v="868"/>
    <n v="12"/>
    <n v="11"/>
    <n v="9548"/>
    <n v="1432.2000000000003"/>
    <n v="8115.7999999999993"/>
    <n v="4.30185"/>
    <n v="10416"/>
    <n v="-2300.2000000000007"/>
  </r>
  <r>
    <x v="2"/>
    <x v="4"/>
    <x v="2"/>
    <s v="CUST_ID_016"/>
    <s v="PROD_ID_003"/>
    <x v="77"/>
    <s v="Low"/>
    <d v="2021-10-19T00:00:00"/>
    <x v="6"/>
    <x v="2"/>
    <x v="1"/>
    <n v="2510"/>
    <n v="148"/>
    <n v="11"/>
    <n v="27610"/>
    <n v="276.10000000000002"/>
    <n v="27333.9"/>
    <n v="14.49756"/>
    <n v="371480"/>
    <n v="-344146.1"/>
  </r>
  <r>
    <x v="0"/>
    <x v="7"/>
    <x v="0"/>
    <s v="CUST_ID_022"/>
    <s v="PROD_ID_001"/>
    <x v="93"/>
    <s v="Low"/>
    <d v="2021-10-30T00:00:00"/>
    <x v="6"/>
    <x v="2"/>
    <x v="1"/>
    <n v="1992"/>
    <n v="6"/>
    <n v="188"/>
    <n v="374496"/>
    <n v="7489.92"/>
    <n v="367006.08"/>
    <n v="203.35"/>
    <n v="11952"/>
    <n v="355054.08000000002"/>
  </r>
  <r>
    <x v="2"/>
    <x v="5"/>
    <x v="1"/>
    <s v="CUST_ID_027"/>
    <s v="PROD_ID_002"/>
    <x v="58"/>
    <s v="Low"/>
    <d v="2021-12-21T00:00:00"/>
    <x v="5"/>
    <x v="2"/>
    <x v="1"/>
    <n v="2416"/>
    <n v="12"/>
    <n v="11"/>
    <n v="26576"/>
    <n v="531.52"/>
    <n v="26044.48"/>
    <n v="13.80918"/>
    <n v="28992"/>
    <n v="-2947.5200000000004"/>
  </r>
  <r>
    <x v="0"/>
    <x v="6"/>
    <x v="2"/>
    <s v="CUST_ID_029"/>
    <s v="PROD_ID_003"/>
    <x v="83"/>
    <s v="Low"/>
    <d v="2021-11-08T00:00:00"/>
    <x v="4"/>
    <x v="2"/>
    <x v="1"/>
    <n v="971"/>
    <n v="148"/>
    <n v="188"/>
    <n v="182548"/>
    <n v="3650.96"/>
    <n v="178897.04"/>
    <n v="99.102500000000006"/>
    <n v="143708"/>
    <n v="35189.040000000008"/>
  </r>
  <r>
    <x v="4"/>
    <x v="2"/>
    <x v="4"/>
    <s v="CUST_ID_036"/>
    <s v="PROD_ID_005"/>
    <x v="67"/>
    <s v="Low"/>
    <d v="2021-12-11T00:00:00"/>
    <x v="5"/>
    <x v="2"/>
    <x v="1"/>
    <n v="1090"/>
    <n v="4"/>
    <n v="18"/>
    <n v="19620"/>
    <n v="588.6"/>
    <n v="19031.400000000001"/>
    <n v="10.569120000000002"/>
    <n v="4360"/>
    <n v="14671.400000000001"/>
  </r>
  <r>
    <x v="2"/>
    <x v="1"/>
    <x v="4"/>
    <s v="CUST_ID_042"/>
    <s v="PROD_ID_005"/>
    <x v="32"/>
    <s v="Low"/>
    <d v="2021-12-20T00:00:00"/>
    <x v="5"/>
    <x v="2"/>
    <x v="1"/>
    <n v="3421"/>
    <n v="4"/>
    <n v="11"/>
    <n v="37631"/>
    <n v="1505.24"/>
    <n v="36125.760000000002"/>
    <n v="19.158720000000002"/>
    <n v="13684"/>
    <n v="22441.760000000002"/>
  </r>
  <r>
    <x v="1"/>
    <x v="7"/>
    <x v="5"/>
    <s v="CUST_ID_046"/>
    <s v="PROD_ID_006"/>
    <x v="51"/>
    <s v="Low"/>
    <d v="2021-10-19T00:00:00"/>
    <x v="6"/>
    <x v="2"/>
    <x v="1"/>
    <n v="805"/>
    <n v="320"/>
    <n v="23"/>
    <n v="18515"/>
    <n v="740.6"/>
    <n v="17774.400000000001"/>
    <n v="9.6623999999999999"/>
    <n v="257600"/>
    <n v="-239825.6"/>
  </r>
  <r>
    <x v="2"/>
    <x v="7"/>
    <x v="2"/>
    <s v="CUST_ID_054"/>
    <s v="PROD_ID_003"/>
    <x v="34"/>
    <s v="Medium"/>
    <d v="2021-10-28T00:00:00"/>
    <x v="6"/>
    <x v="2"/>
    <x v="1"/>
    <n v="1240"/>
    <n v="148"/>
    <n v="30"/>
    <n v="37200"/>
    <n v="1860"/>
    <n v="35340"/>
    <n v="19.626999999999999"/>
    <n v="183520"/>
    <n v="-148180"/>
  </r>
  <r>
    <x v="2"/>
    <x v="4"/>
    <x v="1"/>
    <s v="CUST_ID_072"/>
    <s v="PROD_ID_002"/>
    <x v="42"/>
    <s v="Medium"/>
    <d v="2021-11-14T00:00:00"/>
    <x v="4"/>
    <x v="2"/>
    <x v="1"/>
    <n v="2891"/>
    <n v="12"/>
    <n v="11"/>
    <n v="31801"/>
    <n v="2544.08"/>
    <n v="29256.92"/>
    <n v="15.513959999999999"/>
    <n v="34692"/>
    <n v="-5435.0800000000017"/>
  </r>
  <r>
    <x v="3"/>
    <x v="6"/>
    <x v="2"/>
    <s v="CUST_ID_061"/>
    <s v="PROD_ID_003"/>
    <x v="33"/>
    <s v="Medium"/>
    <d v="2021-11-12T00:00:00"/>
    <x v="4"/>
    <x v="2"/>
    <x v="1"/>
    <n v="463"/>
    <n v="148"/>
    <n v="450"/>
    <n v="208350"/>
    <n v="16668"/>
    <n v="191682"/>
    <n v="106.536"/>
    <n v="68524"/>
    <n v="123158"/>
  </r>
  <r>
    <x v="4"/>
    <x v="2"/>
    <x v="5"/>
    <s v="CUST_ID_076"/>
    <s v="PROD_ID_006"/>
    <x v="85"/>
    <s v="Medium"/>
    <d v="2021-10-07T00:00:00"/>
    <x v="6"/>
    <x v="2"/>
    <x v="1"/>
    <n v="1650"/>
    <n v="320"/>
    <n v="18"/>
    <n v="29700"/>
    <n v="2376"/>
    <n v="27324"/>
    <n v="15.18"/>
    <n v="528000"/>
    <n v="-500676"/>
  </r>
  <r>
    <x v="2"/>
    <x v="5"/>
    <x v="0"/>
    <s v="CUST_ID_043"/>
    <s v="PROD_ID_001"/>
    <x v="19"/>
    <s v="Medium"/>
    <d v="2021-11-30T00:00:00"/>
    <x v="4"/>
    <x v="2"/>
    <x v="1"/>
    <n v="1933"/>
    <n v="6"/>
    <n v="11"/>
    <n v="21263"/>
    <n v="1913.6699999999998"/>
    <n v="19349.330000000002"/>
    <n v="10.26207"/>
    <n v="11598"/>
    <n v="7751.3300000000017"/>
  </r>
  <r>
    <x v="2"/>
    <x v="6"/>
    <x v="0"/>
    <s v="CUST_ID_037"/>
    <s v="PROD_ID_001"/>
    <x v="17"/>
    <s v="High"/>
    <d v="2021-12-30T00:00:00"/>
    <x v="5"/>
    <x v="2"/>
    <x v="1"/>
    <n v="3590"/>
    <n v="6"/>
    <n v="30"/>
    <n v="107700"/>
    <n v="11847"/>
    <n v="95853"/>
    <n v="53.257599999999996"/>
    <n v="21540"/>
    <n v="74313"/>
  </r>
  <r>
    <x v="2"/>
    <x v="6"/>
    <x v="5"/>
    <s v="CUST_ID_093"/>
    <s v="PROD_ID_006"/>
    <x v="31"/>
    <s v="High"/>
    <d v="2021-10-03T00:00:00"/>
    <x v="6"/>
    <x v="2"/>
    <x v="1"/>
    <n v="413"/>
    <n v="320"/>
    <n v="525"/>
    <n v="216825"/>
    <n v="23850.75"/>
    <n v="192974.25"/>
    <n v="107.15600000000001"/>
    <n v="132160"/>
    <n v="60814.25"/>
  </r>
  <r>
    <x v="2"/>
    <x v="0"/>
    <x v="0"/>
    <s v="CUST_ID_049"/>
    <s v="PROD_ID_001"/>
    <x v="24"/>
    <s v="High"/>
    <d v="2021-12-12T00:00:00"/>
    <x v="5"/>
    <x v="2"/>
    <x v="1"/>
    <n v="2058"/>
    <n v="6"/>
    <n v="30"/>
    <n v="61740"/>
    <n v="7408.7999999999993"/>
    <n v="54331.199999999997"/>
    <n v="30.184000000000001"/>
    <n v="12348"/>
    <n v="41983.199999999997"/>
  </r>
  <r>
    <x v="2"/>
    <x v="4"/>
    <x v="1"/>
    <s v="CUST_ID_040"/>
    <s v="PROD_ID_002"/>
    <x v="18"/>
    <s v="High"/>
    <d v="2021-10-19T00:00:00"/>
    <x v="6"/>
    <x v="2"/>
    <x v="1"/>
    <n v="2058"/>
    <n v="12"/>
    <n v="30"/>
    <n v="61740"/>
    <n v="7408.7999999999993"/>
    <n v="54331.199999999997"/>
    <n v="30.184000000000001"/>
    <n v="24696"/>
    <n v="29635.199999999997"/>
  </r>
  <r>
    <x v="3"/>
    <x v="3"/>
    <x v="3"/>
    <s v="CUST_ID_063"/>
    <s v="PROD_ID_004"/>
    <x v="36"/>
    <s v="High"/>
    <d v="2021-10-19T00:00:00"/>
    <x v="6"/>
    <x v="2"/>
    <x v="1"/>
    <n v="323"/>
    <n v="308"/>
    <n v="450"/>
    <n v="145350"/>
    <n v="20349.000000000004"/>
    <n v="125001"/>
    <n v="69.402000000000001"/>
    <n v="99484"/>
    <n v="25517"/>
  </r>
  <r>
    <x v="2"/>
    <x v="6"/>
    <x v="5"/>
    <s v="CUST_ID_093"/>
    <s v="PROD_ID_006"/>
    <x v="31"/>
    <s v="High"/>
    <d v="2021-11-30T00:00:00"/>
    <x v="4"/>
    <x v="2"/>
    <x v="1"/>
    <n v="2072"/>
    <n v="320"/>
    <n v="11"/>
    <n v="22792"/>
    <n v="3190.88"/>
    <n v="19601.12"/>
    <n v="10.396540000000002"/>
    <n v="663040"/>
    <n v="-643438.88"/>
  </r>
  <r>
    <x v="1"/>
    <x v="1"/>
    <x v="4"/>
    <s v="CUST_ID_106"/>
    <s v="PROD_ID_005"/>
    <x v="75"/>
    <s v="None"/>
    <d v="2021-11-08T00:00:00"/>
    <x v="4"/>
    <x v="2"/>
    <x v="1"/>
    <n v="2614"/>
    <n v="4"/>
    <n v="23"/>
    <n v="60122"/>
    <n v="0"/>
    <n v="60122"/>
    <n v="32.67"/>
    <n v="10456"/>
    <n v="49666"/>
  </r>
  <r>
    <x v="1"/>
    <x v="6"/>
    <x v="0"/>
    <s v="CUST_ID_109"/>
    <s v="PROD_ID_001"/>
    <x v="54"/>
    <s v="None"/>
    <d v="2021-10-23T00:00:00"/>
    <x v="6"/>
    <x v="2"/>
    <x v="1"/>
    <n v="1105"/>
    <n v="6"/>
    <n v="23"/>
    <n v="25415"/>
    <n v="0"/>
    <n v="25415"/>
    <n v="13.815"/>
    <n v="6630"/>
    <n v="18785"/>
  </r>
  <r>
    <x v="4"/>
    <x v="2"/>
    <x v="1"/>
    <s v="CUST_ID_060"/>
    <s v="PROD_ID_002"/>
    <x v="32"/>
    <s v="None"/>
    <d v="2021-11-04T00:00:00"/>
    <x v="4"/>
    <x v="2"/>
    <x v="1"/>
    <n v="3022"/>
    <n v="12"/>
    <n v="18"/>
    <n v="54396"/>
    <n v="0"/>
    <n v="54396"/>
    <n v="30.216000000000001"/>
    <n v="36264"/>
    <n v="18132"/>
  </r>
  <r>
    <x v="2"/>
    <x v="5"/>
    <x v="1"/>
    <s v="CUST_ID_027"/>
    <s v="PROD_ID_002"/>
    <x v="58"/>
    <s v="None"/>
    <d v="2021-11-10T00:00:00"/>
    <x v="4"/>
    <x v="2"/>
    <x v="1"/>
    <n v="1372"/>
    <n v="12"/>
    <n v="11"/>
    <n v="15092"/>
    <n v="0"/>
    <n v="15092"/>
    <n v="8.0009999999999994"/>
    <n v="16464"/>
    <n v="-1372"/>
  </r>
  <r>
    <x v="2"/>
    <x v="2"/>
    <x v="2"/>
    <s v="CUST_ID_028"/>
    <s v="PROD_ID_003"/>
    <x v="86"/>
    <s v="None"/>
    <d v="2021-10-04T00:00:00"/>
    <x v="6"/>
    <x v="2"/>
    <x v="1"/>
    <n v="1207"/>
    <n v="148"/>
    <n v="525"/>
    <n v="633675"/>
    <n v="0"/>
    <n v="633675"/>
    <n v="352.1"/>
    <n v="178636"/>
    <n v="455039"/>
  </r>
  <r>
    <x v="2"/>
    <x v="3"/>
    <x v="3"/>
    <s v="CUST_ID_055"/>
    <s v="PROD_ID_004"/>
    <x v="29"/>
    <s v="None"/>
    <d v="2021-12-15T00:00:00"/>
    <x v="5"/>
    <x v="2"/>
    <x v="1"/>
    <n v="2180"/>
    <n v="308"/>
    <n v="30"/>
    <n v="65400"/>
    <n v="0"/>
    <n v="65400"/>
    <n v="36.340000000000003"/>
    <n v="671440"/>
    <n v="-606040"/>
  </r>
  <r>
    <x v="4"/>
    <x v="4"/>
    <x v="4"/>
    <s v="CUST_ID_088"/>
    <s v="PROD_ID_005"/>
    <x v="62"/>
    <s v="Low"/>
    <d v="2021-12-10T00:00:00"/>
    <x v="5"/>
    <x v="2"/>
    <x v="1"/>
    <n v="3205"/>
    <n v="4"/>
    <n v="18"/>
    <n v="57690"/>
    <n v="576.9"/>
    <n v="57113.1"/>
    <n v="31.731480000000001"/>
    <n v="12820"/>
    <n v="44293.1"/>
  </r>
  <r>
    <x v="2"/>
    <x v="5"/>
    <x v="0"/>
    <s v="CUST_ID_059"/>
    <s v="PROD_ID_001"/>
    <x v="74"/>
    <s v="Low"/>
    <d v="2021-11-21T00:00:00"/>
    <x v="4"/>
    <x v="2"/>
    <x v="1"/>
    <n v="1651"/>
    <n v="6"/>
    <n v="30"/>
    <n v="49530"/>
    <n v="495.3"/>
    <n v="49034.7"/>
    <n v="27.234899999999996"/>
    <n v="9906"/>
    <n v="39128.699999999997"/>
  </r>
  <r>
    <x v="0"/>
    <x v="4"/>
    <x v="1"/>
    <s v="CUST_ID_024"/>
    <s v="PROD_ID_002"/>
    <x v="11"/>
    <s v="Low"/>
    <d v="2021-11-30T00:00:00"/>
    <x v="4"/>
    <x v="2"/>
    <x v="1"/>
    <n v="2188"/>
    <n v="12"/>
    <n v="188"/>
    <n v="411344"/>
    <n v="4113.4400000000005"/>
    <n v="407230.56"/>
    <n v="225.59625"/>
    <n v="26256"/>
    <n v="380974.56"/>
  </r>
  <r>
    <x v="2"/>
    <x v="3"/>
    <x v="2"/>
    <s v="CUST_ID_031"/>
    <s v="PROD_ID_003"/>
    <x v="15"/>
    <s v="Low"/>
    <d v="2021-11-01T00:00:00"/>
    <x v="4"/>
    <x v="2"/>
    <x v="1"/>
    <n v="434"/>
    <n v="148"/>
    <n v="11"/>
    <n v="4774"/>
    <n v="47.74"/>
    <n v="4726.26"/>
    <n v="2.5086599999999999"/>
    <n v="64232"/>
    <n v="-59505.74"/>
  </r>
  <r>
    <x v="2"/>
    <x v="4"/>
    <x v="3"/>
    <s v="CUST_ID_056"/>
    <s v="PROD_ID_004"/>
    <x v="30"/>
    <s v="Low"/>
    <d v="2021-12-22T00:00:00"/>
    <x v="5"/>
    <x v="2"/>
    <x v="1"/>
    <n v="316"/>
    <n v="308"/>
    <n v="11"/>
    <n v="3476"/>
    <n v="34.76"/>
    <n v="3441.24"/>
    <n v="1.8225899999999999"/>
    <n v="97328"/>
    <n v="-93886.76"/>
  </r>
  <r>
    <x v="3"/>
    <x v="4"/>
    <x v="3"/>
    <s v="CUST_ID_032"/>
    <s v="PROD_ID_004"/>
    <x v="16"/>
    <s v="Low"/>
    <d v="2021-10-09T00:00:00"/>
    <x v="6"/>
    <x v="2"/>
    <x v="1"/>
    <n v="1183"/>
    <n v="308"/>
    <n v="450"/>
    <n v="532350"/>
    <n v="5323.5"/>
    <n v="527026.5"/>
    <n v="292.84199999999998"/>
    <n v="364364"/>
    <n v="162662.5"/>
  </r>
  <r>
    <x v="2"/>
    <x v="1"/>
    <x v="3"/>
    <s v="CUST_ID_034"/>
    <s v="PROD_ID_004"/>
    <x v="76"/>
    <s v="Low"/>
    <d v="2021-10-09T00:00:00"/>
    <x v="6"/>
    <x v="2"/>
    <x v="1"/>
    <n v="1676"/>
    <n v="308"/>
    <n v="525"/>
    <n v="879900"/>
    <n v="8799"/>
    <n v="871101"/>
    <n v="484.06049999999999"/>
    <n v="516208"/>
    <n v="354893"/>
  </r>
  <r>
    <x v="4"/>
    <x v="3"/>
    <x v="0"/>
    <s v="CUST_ID_119"/>
    <s v="PROD_ID_001"/>
    <x v="52"/>
    <s v="Low"/>
    <d v="2021-11-10T00:00:00"/>
    <x v="4"/>
    <x v="2"/>
    <x v="1"/>
    <n v="1370"/>
    <n v="6"/>
    <n v="18"/>
    <n v="24660"/>
    <n v="493.2"/>
    <n v="24166.799999999999"/>
    <n v="13.429919999999999"/>
    <n v="8220"/>
    <n v="15946.8"/>
  </r>
  <r>
    <x v="1"/>
    <x v="7"/>
    <x v="1"/>
    <s v="CUST_ID_006"/>
    <s v="PROD_ID_002"/>
    <x v="55"/>
    <s v="Low"/>
    <d v="2021-10-24T00:00:00"/>
    <x v="6"/>
    <x v="2"/>
    <x v="1"/>
    <n v="2836"/>
    <n v="12"/>
    <n v="23"/>
    <n v="65228"/>
    <n v="1304.56"/>
    <n v="63923.44"/>
    <n v="34.7361"/>
    <n v="34032"/>
    <n v="29891.440000000002"/>
  </r>
  <r>
    <x v="0"/>
    <x v="6"/>
    <x v="3"/>
    <s v="CUST_ID_125"/>
    <s v="PROD_ID_004"/>
    <x v="28"/>
    <s v="Low"/>
    <d v="2021-12-06T00:00:00"/>
    <x v="5"/>
    <x v="2"/>
    <x v="1"/>
    <n v="794"/>
    <n v="308"/>
    <n v="188"/>
    <n v="149272"/>
    <n v="2985.44"/>
    <n v="146286.56"/>
    <n v="81.094999999999999"/>
    <n v="244552"/>
    <n v="-98265.44"/>
  </r>
  <r>
    <x v="2"/>
    <x v="4"/>
    <x v="3"/>
    <s v="CUST_ID_056"/>
    <s v="PROD_ID_004"/>
    <x v="30"/>
    <s v="Low"/>
    <d v="2021-11-16T00:00:00"/>
    <x v="4"/>
    <x v="2"/>
    <x v="1"/>
    <n v="3452"/>
    <n v="308"/>
    <n v="525"/>
    <n v="1812300"/>
    <n v="36246"/>
    <n v="1776054"/>
    <n v="986.81100000000004"/>
    <n v="1063216"/>
    <n v="712838"/>
  </r>
  <r>
    <x v="0"/>
    <x v="0"/>
    <x v="3"/>
    <s v="CUST_ID_105"/>
    <s v="PROD_ID_004"/>
    <x v="60"/>
    <s v="Low"/>
    <d v="2021-12-13T00:00:00"/>
    <x v="5"/>
    <x v="2"/>
    <x v="1"/>
    <n v="3275"/>
    <n v="308"/>
    <n v="188"/>
    <n v="615700"/>
    <n v="12314"/>
    <n v="603386"/>
    <n v="334.30250000000001"/>
    <n v="1008700"/>
    <n v="-405314"/>
  </r>
  <r>
    <x v="2"/>
    <x v="0"/>
    <x v="5"/>
    <s v="CUST_ID_065"/>
    <s v="PROD_ID_006"/>
    <x v="37"/>
    <s v="Low"/>
    <d v="2021-11-19T00:00:00"/>
    <x v="4"/>
    <x v="2"/>
    <x v="1"/>
    <n v="1129"/>
    <n v="320"/>
    <n v="30"/>
    <n v="33870"/>
    <n v="677.4"/>
    <n v="33192.6"/>
    <n v="18.4436"/>
    <n v="361280"/>
    <n v="-328087.40000000002"/>
  </r>
  <r>
    <x v="3"/>
    <x v="2"/>
    <x v="4"/>
    <s v="CUST_ID_020"/>
    <s v="PROD_ID_005"/>
    <x v="8"/>
    <s v="Low"/>
    <d v="2021-10-23T00:00:00"/>
    <x v="6"/>
    <x v="2"/>
    <x v="1"/>
    <n v="827"/>
    <n v="4"/>
    <n v="450"/>
    <n v="372150"/>
    <n v="11164.5"/>
    <n v="360985.5"/>
    <n v="200.499"/>
    <n v="3308"/>
    <n v="357677.5"/>
  </r>
  <r>
    <x v="0"/>
    <x v="1"/>
    <x v="1"/>
    <s v="CUST_ID_122"/>
    <s v="PROD_ID_002"/>
    <x v="41"/>
    <s v="Low"/>
    <d v="2021-10-03T00:00:00"/>
    <x v="6"/>
    <x v="2"/>
    <x v="1"/>
    <n v="2129"/>
    <n v="12"/>
    <n v="188"/>
    <n v="400252"/>
    <n v="12007.56"/>
    <n v="388244.44"/>
    <n v="215.0975"/>
    <n v="25548"/>
    <n v="362696.44"/>
  </r>
  <r>
    <x v="4"/>
    <x v="5"/>
    <x v="3"/>
    <s v="CUST_ID_067"/>
    <s v="PROD_ID_004"/>
    <x v="38"/>
    <s v="Low"/>
    <d v="2021-12-14T00:00:00"/>
    <x v="5"/>
    <x v="2"/>
    <x v="1"/>
    <n v="2975"/>
    <n v="308"/>
    <n v="18"/>
    <n v="53550"/>
    <n v="1606.5000000000002"/>
    <n v="51943.5"/>
    <n v="28.855560000000001"/>
    <n v="916300"/>
    <n v="-864356.5"/>
  </r>
  <r>
    <x v="1"/>
    <x v="2"/>
    <x v="1"/>
    <s v="CUST_ID_044"/>
    <s v="PROD_ID_002"/>
    <x v="64"/>
    <s v="Low"/>
    <d v="2021-12-23T00:00:00"/>
    <x v="5"/>
    <x v="2"/>
    <x v="1"/>
    <n v="2437"/>
    <n v="12"/>
    <n v="23"/>
    <n v="56051"/>
    <n v="2242.0399999999995"/>
    <n v="53808.959999999999"/>
    <n v="29.246400000000001"/>
    <n v="29244"/>
    <n v="24564.959999999999"/>
  </r>
  <r>
    <x v="1"/>
    <x v="5"/>
    <x v="0"/>
    <s v="CUST_ID_131"/>
    <s v="PROD_ID_001"/>
    <x v="61"/>
    <s v="Low"/>
    <d v="2021-11-28T00:00:00"/>
    <x v="4"/>
    <x v="2"/>
    <x v="1"/>
    <n v="2360"/>
    <n v="6"/>
    <n v="23"/>
    <n v="54280"/>
    <n v="2171.1999999999998"/>
    <n v="52108.800000000003"/>
    <n v="28.3248"/>
    <n v="14160"/>
    <n v="37948.800000000003"/>
  </r>
  <r>
    <x v="0"/>
    <x v="7"/>
    <x v="0"/>
    <s v="CUST_ID_022"/>
    <s v="PROD_ID_001"/>
    <x v="93"/>
    <s v="Low"/>
    <d v="2021-11-04T00:00:00"/>
    <x v="4"/>
    <x v="2"/>
    <x v="1"/>
    <n v="1366"/>
    <n v="6"/>
    <n v="188"/>
    <n v="256808"/>
    <n v="10272.32"/>
    <n v="246535.67999999999"/>
    <n v="136.56"/>
    <n v="8196"/>
    <n v="238339.68"/>
  </r>
  <r>
    <x v="0"/>
    <x v="3"/>
    <x v="1"/>
    <s v="CUST_ID_023"/>
    <s v="PROD_ID_002"/>
    <x v="10"/>
    <s v="Low"/>
    <d v="2021-11-09T00:00:00"/>
    <x v="4"/>
    <x v="2"/>
    <x v="1"/>
    <n v="954"/>
    <n v="12"/>
    <n v="188"/>
    <n v="179352"/>
    <n v="7174.08"/>
    <n v="172177.92000000001"/>
    <n v="95.4"/>
    <n v="11448"/>
    <n v="160729.92000000001"/>
  </r>
  <r>
    <x v="2"/>
    <x v="2"/>
    <x v="1"/>
    <s v="CUST_ID_004"/>
    <s v="PROD_ID_002"/>
    <x v="2"/>
    <s v="Low"/>
    <d v="2021-12-30T00:00:00"/>
    <x v="5"/>
    <x v="2"/>
    <x v="1"/>
    <n v="2489"/>
    <n v="12"/>
    <n v="30"/>
    <n v="74670"/>
    <n v="2986.8"/>
    <n v="71683.199999999997"/>
    <n v="39.820800000000006"/>
    <n v="29868"/>
    <n v="41815.199999999997"/>
  </r>
  <r>
    <x v="4"/>
    <x v="2"/>
    <x v="2"/>
    <s v="CUST_ID_132"/>
    <s v="PROD_ID_003"/>
    <x v="79"/>
    <s v="Low"/>
    <d v="2021-12-26T00:00:00"/>
    <x v="5"/>
    <x v="2"/>
    <x v="1"/>
    <n v="1758"/>
    <n v="148"/>
    <n v="18"/>
    <n v="31644"/>
    <n v="1265.76"/>
    <n v="30378.240000000002"/>
    <n v="16.876799999999999"/>
    <n v="260184"/>
    <n v="-229805.76"/>
  </r>
  <r>
    <x v="4"/>
    <x v="2"/>
    <x v="1"/>
    <s v="CUST_ID_060"/>
    <s v="PROD_ID_002"/>
    <x v="32"/>
    <s v="Medium"/>
    <d v="2021-12-10T00:00:00"/>
    <x v="5"/>
    <x v="2"/>
    <x v="1"/>
    <n v="2917"/>
    <n v="12"/>
    <n v="18"/>
    <n v="52506"/>
    <n v="2625.2999999999997"/>
    <n v="49880.7"/>
    <n v="27.7134"/>
    <n v="35004"/>
    <n v="14876.699999999997"/>
  </r>
  <r>
    <x v="4"/>
    <x v="6"/>
    <x v="2"/>
    <s v="CUST_ID_133"/>
    <s v="PROD_ID_003"/>
    <x v="54"/>
    <s v="Medium"/>
    <d v="2021-11-08T00:00:00"/>
    <x v="4"/>
    <x v="2"/>
    <x v="1"/>
    <n v="2917"/>
    <n v="148"/>
    <n v="18"/>
    <n v="52506"/>
    <n v="2625.2999999999997"/>
    <n v="49880.7"/>
    <n v="27.7134"/>
    <n v="431716"/>
    <n v="-381835.3"/>
  </r>
  <r>
    <x v="3"/>
    <x v="7"/>
    <x v="4"/>
    <s v="CUST_ID_134"/>
    <s v="PROD_ID_005"/>
    <x v="25"/>
    <s v="Medium"/>
    <d v="2021-12-23T00:00:00"/>
    <x v="5"/>
    <x v="2"/>
    <x v="1"/>
    <n v="1189"/>
    <n v="4"/>
    <n v="450"/>
    <n v="535050"/>
    <n v="26752.5"/>
    <n v="508297.5"/>
    <n v="282.435"/>
    <n v="4756"/>
    <n v="503541.5"/>
  </r>
  <r>
    <x v="2"/>
    <x v="2"/>
    <x v="1"/>
    <s v="CUST_ID_052"/>
    <s v="PROD_ID_002"/>
    <x v="27"/>
    <s v="Medium"/>
    <d v="2021-11-23T00:00:00"/>
    <x v="4"/>
    <x v="2"/>
    <x v="1"/>
    <n v="1564"/>
    <n v="12"/>
    <n v="30"/>
    <n v="46920"/>
    <n v="2346"/>
    <n v="44574"/>
    <n v="24.757000000000001"/>
    <n v="18768"/>
    <n v="25806"/>
  </r>
  <r>
    <x v="2"/>
    <x v="5"/>
    <x v="1"/>
    <s v="CUST_ID_027"/>
    <s v="PROD_ID_002"/>
    <x v="58"/>
    <s v="Medium"/>
    <d v="2021-11-21T00:00:00"/>
    <x v="4"/>
    <x v="2"/>
    <x v="1"/>
    <n v="722"/>
    <n v="12"/>
    <n v="525"/>
    <n v="379050"/>
    <n v="18952.5"/>
    <n v="360097.5"/>
    <n v="200.16499999999999"/>
    <n v="8664"/>
    <n v="351433.5"/>
  </r>
  <r>
    <x v="0"/>
    <x v="6"/>
    <x v="2"/>
    <s v="CUST_ID_029"/>
    <s v="PROD_ID_003"/>
    <x v="83"/>
    <s v="Medium"/>
    <d v="2021-10-07T00:00:00"/>
    <x v="6"/>
    <x v="2"/>
    <x v="1"/>
    <n v="968"/>
    <n v="148"/>
    <n v="188"/>
    <n v="181984"/>
    <n v="9099.2000000000007"/>
    <n v="172884.8"/>
    <n v="95.831249999999997"/>
    <n v="143264"/>
    <n v="29620.799999999988"/>
  </r>
  <r>
    <x v="2"/>
    <x v="7"/>
    <x v="2"/>
    <s v="CUST_ID_054"/>
    <s v="PROD_ID_003"/>
    <x v="34"/>
    <s v="Medium"/>
    <d v="2021-11-13T00:00:00"/>
    <x v="4"/>
    <x v="2"/>
    <x v="1"/>
    <n v="1895"/>
    <n v="148"/>
    <n v="30"/>
    <n v="56850"/>
    <n v="2842.5"/>
    <n v="54007.5"/>
    <n v="30.001000000000001"/>
    <n v="280460"/>
    <n v="-226452.5"/>
  </r>
  <r>
    <x v="2"/>
    <x v="0"/>
    <x v="3"/>
    <s v="CUST_ID_033"/>
    <s v="PROD_ID_004"/>
    <x v="20"/>
    <s v="Medium"/>
    <d v="2021-10-24T00:00:00"/>
    <x v="6"/>
    <x v="2"/>
    <x v="1"/>
    <n v="684"/>
    <n v="308"/>
    <n v="11"/>
    <n v="7524"/>
    <n v="376.20000000000005"/>
    <n v="7147.8"/>
    <n v="3.7905000000000002"/>
    <n v="210672"/>
    <n v="-203524.2"/>
  </r>
  <r>
    <x v="2"/>
    <x v="5"/>
    <x v="5"/>
    <s v="CUST_ID_035"/>
    <s v="PROD_ID_006"/>
    <x v="23"/>
    <s v="Medium"/>
    <d v="2021-12-18T00:00:00"/>
    <x v="5"/>
    <x v="2"/>
    <x v="1"/>
    <n v="1620"/>
    <n v="320"/>
    <n v="525"/>
    <n v="850500"/>
    <n v="42525"/>
    <n v="807975"/>
    <n v="448.875"/>
    <n v="518400"/>
    <n v="289575"/>
  </r>
  <r>
    <x v="4"/>
    <x v="3"/>
    <x v="0"/>
    <s v="CUST_ID_119"/>
    <s v="PROD_ID_001"/>
    <x v="52"/>
    <s v="Medium"/>
    <d v="2021-11-20T00:00:00"/>
    <x v="4"/>
    <x v="2"/>
    <x v="1"/>
    <n v="3268"/>
    <n v="6"/>
    <n v="18"/>
    <n v="58824"/>
    <n v="3529.44"/>
    <n v="55294.559999999998"/>
    <n v="30.715439999999997"/>
    <n v="19608"/>
    <n v="35686.559999999998"/>
  </r>
  <r>
    <x v="0"/>
    <x v="3"/>
    <x v="2"/>
    <s v="CUST_ID_007"/>
    <s v="PROD_ID_003"/>
    <x v="3"/>
    <s v="Medium"/>
    <d v="2021-11-11T00:00:00"/>
    <x v="4"/>
    <x v="2"/>
    <x v="1"/>
    <n v="1142"/>
    <n v="148"/>
    <n v="188"/>
    <n v="214696"/>
    <n v="12881.76"/>
    <n v="201814.24"/>
    <n v="111.86"/>
    <n v="169016"/>
    <n v="32798.239999999991"/>
  </r>
  <r>
    <x v="1"/>
    <x v="1"/>
    <x v="1"/>
    <s v="CUST_ID_026"/>
    <s v="PROD_ID_002"/>
    <x v="13"/>
    <s v="Medium"/>
    <d v="2021-10-20T00:00:00"/>
    <x v="6"/>
    <x v="2"/>
    <x v="1"/>
    <n v="2638"/>
    <n v="12"/>
    <n v="23"/>
    <n v="60674"/>
    <n v="3640.4400000000005"/>
    <n v="57033.56"/>
    <n v="30.991799999999998"/>
    <n v="31656"/>
    <n v="25377.559999999998"/>
  </r>
  <r>
    <x v="2"/>
    <x v="2"/>
    <x v="2"/>
    <s v="CUST_ID_028"/>
    <s v="PROD_ID_003"/>
    <x v="86"/>
    <s v="Medium"/>
    <d v="2021-11-30T00:00:00"/>
    <x v="4"/>
    <x v="2"/>
    <x v="1"/>
    <n v="1201"/>
    <n v="148"/>
    <n v="30"/>
    <n v="36030"/>
    <n v="2161.8000000000002"/>
    <n v="33868.199999999997"/>
    <n v="18.8188"/>
    <n v="177748"/>
    <n v="-143879.79999999999"/>
  </r>
  <r>
    <x v="1"/>
    <x v="5"/>
    <x v="3"/>
    <s v="CUST_ID_139"/>
    <s v="PROD_ID_004"/>
    <x v="48"/>
    <s v="Medium"/>
    <d v="2021-10-13T00:00:00"/>
    <x v="6"/>
    <x v="2"/>
    <x v="1"/>
    <n v="1384"/>
    <n v="308"/>
    <n v="23"/>
    <n v="31832"/>
    <n v="1909.92"/>
    <n v="29922.080000000002"/>
    <n v="16.257300000000001"/>
    <n v="426272"/>
    <n v="-396349.92"/>
  </r>
  <r>
    <x v="3"/>
    <x v="6"/>
    <x v="2"/>
    <s v="CUST_ID_061"/>
    <s v="PROD_ID_003"/>
    <x v="33"/>
    <s v="Medium"/>
    <d v="2021-11-06T00:00:00"/>
    <x v="4"/>
    <x v="2"/>
    <x v="1"/>
    <n v="1991"/>
    <n v="148"/>
    <n v="450"/>
    <n v="895950"/>
    <n v="62716.500000000007"/>
    <n v="833233.5"/>
    <n v="462.86099999999999"/>
    <n v="294668"/>
    <n v="538565.5"/>
  </r>
  <r>
    <x v="2"/>
    <x v="5"/>
    <x v="0"/>
    <s v="CUST_ID_043"/>
    <s v="PROD_ID_001"/>
    <x v="19"/>
    <s v="Medium"/>
    <d v="2021-10-20T00:00:00"/>
    <x v="6"/>
    <x v="2"/>
    <x v="1"/>
    <n v="586"/>
    <n v="6"/>
    <n v="11"/>
    <n v="6446"/>
    <n v="515.67999999999995"/>
    <n v="5930.32"/>
    <n v="3.1427200000000002"/>
    <n v="3516"/>
    <n v="2414.3199999999997"/>
  </r>
  <r>
    <x v="0"/>
    <x v="4"/>
    <x v="1"/>
    <s v="CUST_ID_024"/>
    <s v="PROD_ID_002"/>
    <x v="11"/>
    <s v="Medium"/>
    <d v="2021-11-09T00:00:00"/>
    <x v="4"/>
    <x v="2"/>
    <x v="1"/>
    <n v="1337"/>
    <n v="12"/>
    <n v="188"/>
    <n v="251356"/>
    <n v="20108.48"/>
    <n v="231247.52"/>
    <n v="128.11000000000001"/>
    <n v="16044"/>
    <n v="215203.52"/>
  </r>
  <r>
    <x v="2"/>
    <x v="4"/>
    <x v="3"/>
    <s v="CUST_ID_056"/>
    <s v="PROD_ID_004"/>
    <x v="30"/>
    <s v="Medium"/>
    <d v="2021-10-13T00:00:00"/>
    <x v="6"/>
    <x v="2"/>
    <x v="1"/>
    <n v="2806"/>
    <n v="308"/>
    <n v="11"/>
    <n v="30866"/>
    <n v="2469.2800000000002"/>
    <n v="28396.720000000001"/>
    <n v="15.056719999999999"/>
    <n v="864248"/>
    <n v="-835851.28"/>
  </r>
  <r>
    <x v="2"/>
    <x v="5"/>
    <x v="5"/>
    <s v="CUST_ID_035"/>
    <s v="PROD_ID_006"/>
    <x v="23"/>
    <s v="Medium"/>
    <d v="2021-10-08T00:00:00"/>
    <x v="6"/>
    <x v="2"/>
    <x v="1"/>
    <n v="1639"/>
    <n v="320"/>
    <n v="30"/>
    <n v="49170"/>
    <n v="3933.6"/>
    <n v="45236.4"/>
    <n v="25.134400000000003"/>
    <n v="524480"/>
    <n v="-479243.6"/>
  </r>
  <r>
    <x v="2"/>
    <x v="5"/>
    <x v="5"/>
    <s v="CUST_ID_035"/>
    <s v="PROD_ID_006"/>
    <x v="23"/>
    <s v="Medium"/>
    <d v="2021-10-10T00:00:00"/>
    <x v="6"/>
    <x v="2"/>
    <x v="1"/>
    <n v="1824"/>
    <n v="320"/>
    <n v="30"/>
    <n v="54720"/>
    <n v="4377.6000000000004"/>
    <n v="50342.400000000001"/>
    <n v="27.968"/>
    <n v="583680"/>
    <n v="-533337.59999999998"/>
  </r>
  <r>
    <x v="3"/>
    <x v="1"/>
    <x v="4"/>
    <s v="CUST_ID_146"/>
    <s v="PROD_ID_005"/>
    <x v="41"/>
    <s v="Medium"/>
    <d v="2021-12-20T00:00:00"/>
    <x v="5"/>
    <x v="2"/>
    <x v="1"/>
    <n v="1313"/>
    <n v="4"/>
    <n v="450"/>
    <n v="590850"/>
    <n v="53176.5"/>
    <n v="537673.5"/>
    <n v="298.66199999999998"/>
    <n v="5252"/>
    <n v="532421.5"/>
  </r>
  <r>
    <x v="3"/>
    <x v="1"/>
    <x v="0"/>
    <s v="CUST_ID_074"/>
    <s v="PROD_ID_001"/>
    <x v="41"/>
    <s v="Medium"/>
    <d v="2021-12-06T00:00:00"/>
    <x v="5"/>
    <x v="2"/>
    <x v="1"/>
    <n v="4563"/>
    <n v="6"/>
    <n v="450"/>
    <n v="2053350"/>
    <n v="184801.5"/>
    <n v="1868548.5"/>
    <n v="1038.0825"/>
    <n v="27378"/>
    <n v="1841170.5"/>
  </r>
  <r>
    <x v="1"/>
    <x v="5"/>
    <x v="2"/>
    <s v="CUST_ID_091"/>
    <s v="PROD_ID_003"/>
    <x v="48"/>
    <s v="Medium"/>
    <d v="2021-12-29T00:00:00"/>
    <x v="5"/>
    <x v="2"/>
    <x v="1"/>
    <n v="294"/>
    <n v="148"/>
    <n v="23"/>
    <n v="6762"/>
    <n v="608.57999999999993"/>
    <n v="6153.42"/>
    <n v="3.3442500000000002"/>
    <n v="43512"/>
    <n v="-37358.58"/>
  </r>
  <r>
    <x v="3"/>
    <x v="4"/>
    <x v="3"/>
    <s v="CUST_ID_032"/>
    <s v="PROD_ID_004"/>
    <x v="16"/>
    <s v="Medium"/>
    <d v="2021-12-26T00:00:00"/>
    <x v="5"/>
    <x v="2"/>
    <x v="1"/>
    <n v="3191"/>
    <n v="308"/>
    <n v="450"/>
    <n v="1435950"/>
    <n v="129235.5"/>
    <n v="1306714.5"/>
    <n v="725.90700000000004"/>
    <n v="982828"/>
    <n v="323886.5"/>
  </r>
  <r>
    <x v="2"/>
    <x v="0"/>
    <x v="3"/>
    <s v="CUST_ID_033"/>
    <s v="PROD_ID_004"/>
    <x v="20"/>
    <s v="Medium"/>
    <d v="2021-11-21T00:00:00"/>
    <x v="4"/>
    <x v="2"/>
    <x v="1"/>
    <n v="1622"/>
    <n v="308"/>
    <n v="525"/>
    <n v="851550"/>
    <n v="76639.5"/>
    <n v="774910.5"/>
    <n v="430.45274999999998"/>
    <n v="499576"/>
    <n v="275334.5"/>
  </r>
  <r>
    <x v="1"/>
    <x v="3"/>
    <x v="3"/>
    <s v="CUST_ID_087"/>
    <s v="PROD_ID_004"/>
    <x v="26"/>
    <s v="Medium"/>
    <d v="2021-10-25T00:00:00"/>
    <x v="6"/>
    <x v="2"/>
    <x v="1"/>
    <n v="1472"/>
    <n v="308"/>
    <n v="23"/>
    <n v="33856"/>
    <n v="3047.04"/>
    <n v="30808.959999999999"/>
    <n v="16.748549999999998"/>
    <n v="453376"/>
    <n v="-422567.04"/>
  </r>
  <r>
    <x v="0"/>
    <x v="6"/>
    <x v="3"/>
    <s v="CUST_ID_125"/>
    <s v="PROD_ID_004"/>
    <x v="28"/>
    <s v="Medium"/>
    <d v="2021-10-25T00:00:00"/>
    <x v="6"/>
    <x v="2"/>
    <x v="1"/>
    <n v="1052"/>
    <n v="308"/>
    <n v="188"/>
    <n v="197776"/>
    <n v="17799.84"/>
    <n v="179976.16"/>
    <n v="99.758750000000006"/>
    <n v="324016"/>
    <n v="-144039.84"/>
  </r>
  <r>
    <x v="2"/>
    <x v="4"/>
    <x v="3"/>
    <s v="CUST_ID_056"/>
    <s v="PROD_ID_004"/>
    <x v="30"/>
    <s v="Medium"/>
    <d v="2021-12-04T00:00:00"/>
    <x v="5"/>
    <x v="2"/>
    <x v="1"/>
    <n v="432"/>
    <n v="308"/>
    <n v="11"/>
    <n v="4752"/>
    <n v="427.68000000000006"/>
    <n v="4324.32"/>
    <n v="2.2931999999999997"/>
    <n v="133056"/>
    <n v="-128731.68"/>
  </r>
  <r>
    <x v="2"/>
    <x v="4"/>
    <x v="1"/>
    <s v="CUST_ID_072"/>
    <s v="PROD_ID_002"/>
    <x v="42"/>
    <s v="High"/>
    <d v="2021-10-24T00:00:00"/>
    <x v="6"/>
    <x v="2"/>
    <x v="1"/>
    <n v="289"/>
    <n v="12"/>
    <n v="30"/>
    <n v="8670"/>
    <n v="867"/>
    <n v="7803"/>
    <n v="4.3380000000000001"/>
    <n v="3468"/>
    <n v="4335"/>
  </r>
  <r>
    <x v="2"/>
    <x v="2"/>
    <x v="2"/>
    <s v="CUST_ID_028"/>
    <s v="PROD_ID_003"/>
    <x v="86"/>
    <s v="High"/>
    <d v="2021-10-07T00:00:00"/>
    <x v="6"/>
    <x v="2"/>
    <x v="1"/>
    <n v="3198"/>
    <n v="148"/>
    <n v="11"/>
    <n v="35178"/>
    <n v="3517.8"/>
    <n v="31660.2"/>
    <n v="16.7895"/>
    <n v="473304"/>
    <n v="-441643.8"/>
  </r>
  <r>
    <x v="0"/>
    <x v="2"/>
    <x v="5"/>
    <s v="CUST_ID_148"/>
    <s v="PROD_ID_006"/>
    <x v="85"/>
    <s v="High"/>
    <d v="2021-12-08T00:00:00"/>
    <x v="5"/>
    <x v="2"/>
    <x v="1"/>
    <n v="695"/>
    <n v="320"/>
    <n v="188"/>
    <n v="130660"/>
    <n v="13066"/>
    <n v="117594"/>
    <n v="65.137500000000003"/>
    <n v="222400"/>
    <n v="-104806"/>
  </r>
  <r>
    <x v="2"/>
    <x v="3"/>
    <x v="5"/>
    <s v="CUST_ID_047"/>
    <s v="PROD_ID_006"/>
    <x v="22"/>
    <s v="High"/>
    <d v="2021-11-13T00:00:00"/>
    <x v="4"/>
    <x v="2"/>
    <x v="1"/>
    <n v="2688"/>
    <n v="320"/>
    <n v="525"/>
    <n v="1411200"/>
    <n v="141120"/>
    <n v="1270080"/>
    <n v="705.6"/>
    <n v="860160"/>
    <n v="409920"/>
  </r>
  <r>
    <x v="3"/>
    <x v="6"/>
    <x v="5"/>
    <s v="CUST_ID_149"/>
    <s v="PROD_ID_006"/>
    <x v="28"/>
    <s v="High"/>
    <d v="2021-12-11T00:00:00"/>
    <x v="5"/>
    <x v="2"/>
    <x v="1"/>
    <n v="1024"/>
    <n v="320"/>
    <n v="450"/>
    <n v="460800"/>
    <n v="46080"/>
    <n v="414720"/>
    <n v="230.31"/>
    <n v="327680"/>
    <n v="87040"/>
  </r>
  <r>
    <x v="1"/>
    <x v="2"/>
    <x v="1"/>
    <s v="CUST_ID_044"/>
    <s v="PROD_ID_002"/>
    <x v="64"/>
    <s v="High"/>
    <d v="2021-11-24T00:00:00"/>
    <x v="4"/>
    <x v="2"/>
    <x v="1"/>
    <n v="2381"/>
    <n v="12"/>
    <n v="23"/>
    <n v="54763"/>
    <n v="6023.93"/>
    <n v="48739.07"/>
    <n v="26.4864"/>
    <n v="28572"/>
    <n v="20167.07"/>
  </r>
  <r>
    <x v="2"/>
    <x v="1"/>
    <x v="4"/>
    <s v="CUST_ID_066"/>
    <s v="PROD_ID_005"/>
    <x v="66"/>
    <s v="High"/>
    <d v="2021-12-07T00:00:00"/>
    <x v="5"/>
    <x v="2"/>
    <x v="1"/>
    <n v="1063"/>
    <n v="4"/>
    <n v="525"/>
    <n v="558075"/>
    <n v="66969"/>
    <n v="491106"/>
    <n v="272.88799999999998"/>
    <n v="4252"/>
    <n v="486854"/>
  </r>
  <r>
    <x v="1"/>
    <x v="0"/>
    <x v="0"/>
    <s v="CUST_ID_113"/>
    <s v="PROD_ID_001"/>
    <x v="46"/>
    <s v="High"/>
    <d v="2021-11-02T00:00:00"/>
    <x v="4"/>
    <x v="2"/>
    <x v="1"/>
    <n v="812"/>
    <n v="6"/>
    <n v="23"/>
    <n v="18676"/>
    <n v="2241.12"/>
    <n v="16434.88"/>
    <n v="8.936399999999999"/>
    <n v="4872"/>
    <n v="11562.880000000001"/>
  </r>
  <r>
    <x v="3"/>
    <x v="7"/>
    <x v="0"/>
    <s v="CUST_ID_078"/>
    <s v="PROD_ID_001"/>
    <x v="43"/>
    <s v="High"/>
    <d v="2021-12-03T00:00:00"/>
    <x v="5"/>
    <x v="2"/>
    <x v="1"/>
    <n v="2128"/>
    <n v="6"/>
    <n v="450"/>
    <n v="957600"/>
    <n v="114912"/>
    <n v="842688"/>
    <n v="468.072"/>
    <n v="12768"/>
    <n v="829920"/>
  </r>
  <r>
    <x v="2"/>
    <x v="0"/>
    <x v="2"/>
    <s v="CUST_ID_041"/>
    <s v="PROD_ID_003"/>
    <x v="81"/>
    <s v="High"/>
    <d v="2021-12-19T00:00:00"/>
    <x v="5"/>
    <x v="2"/>
    <x v="1"/>
    <n v="1183"/>
    <n v="148"/>
    <n v="525"/>
    <n v="621075"/>
    <n v="74529"/>
    <n v="546546"/>
    <n v="303.68799999999999"/>
    <n v="175084"/>
    <n v="371462"/>
  </r>
  <r>
    <x v="2"/>
    <x v="3"/>
    <x v="2"/>
    <s v="CUST_ID_031"/>
    <s v="PROD_ID_003"/>
    <x v="15"/>
    <s v="High"/>
    <d v="2021-10-26T00:00:00"/>
    <x v="6"/>
    <x v="2"/>
    <x v="1"/>
    <n v="1086"/>
    <n v="148"/>
    <n v="30"/>
    <n v="32580"/>
    <n v="3909.6"/>
    <n v="28670.400000000001"/>
    <n v="15.928000000000001"/>
    <n v="160728"/>
    <n v="-132057.60000000001"/>
  </r>
  <r>
    <x v="0"/>
    <x v="6"/>
    <x v="3"/>
    <s v="CUST_ID_117"/>
    <s v="PROD_ID_004"/>
    <x v="31"/>
    <s v="High"/>
    <d v="2021-12-22T00:00:00"/>
    <x v="5"/>
    <x v="2"/>
    <x v="1"/>
    <n v="2864"/>
    <n v="308"/>
    <n v="188"/>
    <n v="538432"/>
    <n v="64611.839999999997"/>
    <n v="473820.16000000003"/>
    <n v="262.57"/>
    <n v="882112"/>
    <n v="-408291.83999999997"/>
  </r>
  <r>
    <x v="2"/>
    <x v="5"/>
    <x v="0"/>
    <s v="CUST_ID_099"/>
    <s v="PROD_ID_001"/>
    <x v="69"/>
    <s v="High"/>
    <d v="2021-11-24T00:00:00"/>
    <x v="4"/>
    <x v="2"/>
    <x v="1"/>
    <n v="1179"/>
    <n v="6"/>
    <n v="525"/>
    <n v="618975"/>
    <n v="80466.75"/>
    <n v="538508.25"/>
    <n v="299.17124999999999"/>
    <n v="7074"/>
    <n v="531434.25"/>
  </r>
  <r>
    <x v="2"/>
    <x v="4"/>
    <x v="1"/>
    <s v="CUST_ID_072"/>
    <s v="PROD_ID_002"/>
    <x v="42"/>
    <s v="High"/>
    <d v="2021-10-27T00:00:00"/>
    <x v="6"/>
    <x v="2"/>
    <x v="1"/>
    <n v="3250"/>
    <n v="12"/>
    <n v="30"/>
    <n v="97500"/>
    <n v="12675"/>
    <n v="84825"/>
    <n v="47.119199999999999"/>
    <n v="39000"/>
    <n v="45825"/>
  </r>
  <r>
    <x v="0"/>
    <x v="1"/>
    <x v="1"/>
    <s v="CUST_ID_122"/>
    <s v="PROD_ID_002"/>
    <x v="41"/>
    <s v="High"/>
    <d v="2021-10-24T00:00:00"/>
    <x v="6"/>
    <x v="2"/>
    <x v="1"/>
    <n v="1900"/>
    <n v="12"/>
    <n v="188"/>
    <n v="357200"/>
    <n v="46436"/>
    <n v="310764"/>
    <n v="172.15125"/>
    <n v="22800"/>
    <n v="287964"/>
  </r>
  <r>
    <x v="2"/>
    <x v="2"/>
    <x v="1"/>
    <s v="CUST_ID_052"/>
    <s v="PROD_ID_002"/>
    <x v="27"/>
    <s v="High"/>
    <d v="2021-11-18T00:00:00"/>
    <x v="4"/>
    <x v="2"/>
    <x v="1"/>
    <n v="3235"/>
    <n v="12"/>
    <n v="11"/>
    <n v="35585"/>
    <n v="4626.05"/>
    <n v="30958.95"/>
    <n v="16.41864"/>
    <n v="38820"/>
    <n v="-7861.0499999999993"/>
  </r>
  <r>
    <x v="4"/>
    <x v="7"/>
    <x v="1"/>
    <s v="CUST_ID_014"/>
    <s v="PROD_ID_002"/>
    <x v="63"/>
    <s v="High"/>
    <d v="2021-11-18T00:00:00"/>
    <x v="4"/>
    <x v="2"/>
    <x v="1"/>
    <n v="1216"/>
    <n v="12"/>
    <n v="18"/>
    <n v="21888"/>
    <n v="2845.44"/>
    <n v="19042.560000000001"/>
    <n v="10.575719999999999"/>
    <n v="14592"/>
    <n v="4450.5600000000013"/>
  </r>
  <r>
    <x v="4"/>
    <x v="5"/>
    <x v="5"/>
    <s v="CUST_ID_083"/>
    <s v="PROD_ID_006"/>
    <x v="45"/>
    <s v="High"/>
    <d v="2021-11-30T00:00:00"/>
    <x v="4"/>
    <x v="2"/>
    <x v="1"/>
    <n v="1672"/>
    <n v="320"/>
    <n v="18"/>
    <n v="30096"/>
    <n v="4213.4399999999996"/>
    <n v="25882.560000000001"/>
    <n v="14.37576"/>
    <n v="535040"/>
    <n v="-509157.44"/>
  </r>
  <r>
    <x v="2"/>
    <x v="5"/>
    <x v="0"/>
    <s v="CUST_ID_043"/>
    <s v="PROD_ID_001"/>
    <x v="19"/>
    <s v="High"/>
    <d v="2021-10-08T00:00:00"/>
    <x v="6"/>
    <x v="2"/>
    <x v="1"/>
    <n v="466"/>
    <n v="6"/>
    <n v="11"/>
    <n v="5126"/>
    <n v="717.6400000000001"/>
    <n v="4408.3599999999997"/>
    <n v="2.3357600000000001"/>
    <n v="2796"/>
    <n v="1612.3599999999997"/>
  </r>
  <r>
    <x v="4"/>
    <x v="6"/>
    <x v="1"/>
    <s v="CUST_ID_005"/>
    <s v="PROD_ID_002"/>
    <x v="71"/>
    <s v="High"/>
    <d v="2021-11-26T00:00:00"/>
    <x v="4"/>
    <x v="2"/>
    <x v="1"/>
    <n v="3497"/>
    <n v="12"/>
    <n v="18"/>
    <n v="62946"/>
    <n v="8812.44"/>
    <n v="54133.56"/>
    <n v="30.072479999999999"/>
    <n v="41964"/>
    <n v="12169.559999999998"/>
  </r>
  <r>
    <x v="0"/>
    <x v="7"/>
    <x v="2"/>
    <s v="CUST_ID_030"/>
    <s v="PROD_ID_003"/>
    <x v="14"/>
    <s v="High"/>
    <d v="2021-10-08T00:00:00"/>
    <x v="6"/>
    <x v="2"/>
    <x v="1"/>
    <n v="1890"/>
    <n v="148"/>
    <n v="188"/>
    <n v="355320"/>
    <n v="49744.800000000003"/>
    <n v="305575.2"/>
    <n v="169.3125"/>
    <n v="279720"/>
    <n v="25855.200000000012"/>
  </r>
  <r>
    <x v="0"/>
    <x v="1"/>
    <x v="4"/>
    <s v="CUST_ID_058"/>
    <s v="PROD_ID_005"/>
    <x v="75"/>
    <s v="High"/>
    <d v="2021-12-31T00:00:00"/>
    <x v="5"/>
    <x v="2"/>
    <x v="1"/>
    <n v="3320"/>
    <n v="4"/>
    <n v="188"/>
    <n v="624160"/>
    <n v="93624"/>
    <n v="530536"/>
    <n v="293.99374999999998"/>
    <n v="13280"/>
    <n v="517256"/>
  </r>
  <r>
    <x v="1"/>
    <x v="7"/>
    <x v="1"/>
    <s v="CUST_ID_006"/>
    <s v="PROD_ID_002"/>
    <x v="55"/>
    <s v="High"/>
    <d v="2021-10-10T00:00:00"/>
    <x v="6"/>
    <x v="2"/>
    <x v="1"/>
    <n v="1937"/>
    <n v="12"/>
    <n v="23"/>
    <n v="44551"/>
    <n v="6682.65"/>
    <n v="37868.35"/>
    <n v="20.578499999999998"/>
    <n v="23244"/>
    <n v="14624.349999999999"/>
  </r>
  <r>
    <x v="1"/>
    <x v="7"/>
    <x v="1"/>
    <s v="CUST_ID_006"/>
    <s v="PROD_ID_002"/>
    <x v="55"/>
    <s v="High"/>
    <d v="2021-10-06T00:00:00"/>
    <x v="6"/>
    <x v="2"/>
    <x v="1"/>
    <n v="3071"/>
    <n v="12"/>
    <n v="23"/>
    <n v="70633"/>
    <n v="10594.949999999999"/>
    <n v="60038.05"/>
    <n v="32.627249999999997"/>
    <n v="36852"/>
    <n v="23186.050000000003"/>
  </r>
  <r>
    <x v="1"/>
    <x v="7"/>
    <x v="2"/>
    <s v="CUST_ID_150"/>
    <s v="PROD_ID_003"/>
    <x v="91"/>
    <s v="High"/>
    <d v="2021-11-13T00:00:00"/>
    <x v="4"/>
    <x v="2"/>
    <x v="1"/>
    <n v="3391"/>
    <n v="148"/>
    <n v="23"/>
    <n v="77993"/>
    <n v="11698.949999999999"/>
    <n v="66294.05"/>
    <n v="36.031500000000001"/>
    <n v="501868"/>
    <n v="-435573.95"/>
  </r>
  <r>
    <x v="0"/>
    <x v="1"/>
    <x v="3"/>
    <s v="CUST_ID_130"/>
    <s v="PROD_ID_004"/>
    <x v="75"/>
    <s v="High"/>
    <d v="2021-12-27T00:00:00"/>
    <x v="5"/>
    <x v="2"/>
    <x v="1"/>
    <n v="662"/>
    <n v="308"/>
    <n v="188"/>
    <n v="124456"/>
    <n v="18668.399999999998"/>
    <n v="105787.6"/>
    <n v="58.65"/>
    <n v="203896"/>
    <n v="-9810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FD551C-2A49-4C33-BC70-9302192D82C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3:R8" firstHeaderRow="1" firstDataRow="1" firstDataCol="1"/>
  <pivotFields count="20">
    <pivotField showAll="0">
      <items count="6">
        <item x="4"/>
        <item x="0"/>
        <item x="2"/>
        <item x="1"/>
        <item x="3"/>
        <item t="default"/>
      </items>
    </pivotField>
    <pivotField showAll="0"/>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axis="axisRow"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dataField="1" showAll="0"/>
    <pivotField showAll="0"/>
    <pivotField showAll="0"/>
    <pivotField showAll="0"/>
  </pivotFields>
  <rowFields count="1">
    <field x="9"/>
  </rowFields>
  <rowItems count="5">
    <i>
      <x/>
    </i>
    <i>
      <x v="1"/>
    </i>
    <i>
      <x v="2"/>
    </i>
    <i>
      <x v="3"/>
    </i>
    <i t="grand">
      <x/>
    </i>
  </rowItems>
  <colItems count="1">
    <i/>
  </colItems>
  <dataFields count="1">
    <dataField name="Sum of Net Sales" fld="16"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ACBB-307F-4CA9-A7DF-01C3A7102A48}"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9:E48" firstHeaderRow="1" firstDataRow="1" firstDataCol="1"/>
  <pivotFields count="20">
    <pivotField showAll="0"/>
    <pivotField axis="axisRow" showAll="0">
      <items count="9">
        <item x="1"/>
        <item x="5"/>
        <item x="2"/>
        <item x="6"/>
        <item x="3"/>
        <item x="7"/>
        <item x="4"/>
        <item x="0"/>
        <item t="default"/>
      </items>
    </pivotField>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pivotField dataField="1" showAll="0"/>
    <pivotField showAll="0"/>
    <pivotField showAll="0"/>
    <pivotField showAll="0"/>
    <pivotField showAll="0"/>
    <pivotField showAll="0"/>
    <pivotField showAll="0"/>
    <pivotField showAll="0"/>
    <pivotField showAll="0"/>
  </pivotFields>
  <rowFields count="1">
    <field x="1"/>
  </rowFields>
  <rowItems count="9">
    <i>
      <x/>
    </i>
    <i>
      <x v="1"/>
    </i>
    <i>
      <x v="2"/>
    </i>
    <i>
      <x v="3"/>
    </i>
    <i>
      <x v="4"/>
    </i>
    <i>
      <x v="5"/>
    </i>
    <i>
      <x v="6"/>
    </i>
    <i>
      <x v="7"/>
    </i>
    <i t="grand">
      <x/>
    </i>
  </rowItems>
  <colItems count="1">
    <i/>
  </colItems>
  <dataFields count="1">
    <dataField name="Sum of Units Sold" fld="11"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0C4755-2208-4C0F-996A-345E56038DD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K16" firstHeaderRow="1" firstDataRow="1" firstDataCol="1"/>
  <pivotFields count="20">
    <pivotField showAll="0">
      <items count="6">
        <item x="4"/>
        <item x="0"/>
        <item x="2"/>
        <item x="1"/>
        <item x="3"/>
        <item t="default"/>
      </items>
    </pivotField>
    <pivotField showAll="0"/>
    <pivotField showAll="0"/>
    <pivotField showAll="0"/>
    <pivotField showAll="0"/>
    <pivotField showAll="0"/>
    <pivotField showAll="0"/>
    <pivotField numFmtId="14" showAll="0"/>
    <pivotField axis="axisRow"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dataField="1" showAll="0"/>
    <pivotField showAll="0"/>
    <pivotField showAll="0"/>
    <pivotField showAll="0"/>
  </pivotFields>
  <rowFields count="1">
    <field x="8"/>
  </rowFields>
  <rowItems count="13">
    <i>
      <x/>
    </i>
    <i>
      <x v="1"/>
    </i>
    <i>
      <x v="2"/>
    </i>
    <i>
      <x v="3"/>
    </i>
    <i>
      <x v="4"/>
    </i>
    <i>
      <x v="5"/>
    </i>
    <i>
      <x v="6"/>
    </i>
    <i>
      <x v="7"/>
    </i>
    <i>
      <x v="8"/>
    </i>
    <i>
      <x v="9"/>
    </i>
    <i>
      <x v="10"/>
    </i>
    <i>
      <x v="11"/>
    </i>
    <i t="grand">
      <x/>
    </i>
  </rowItems>
  <colItems count="1">
    <i/>
  </colItems>
  <dataFields count="1">
    <dataField name="Sum of Net Sales" fld="16" baseField="0" baseItem="0" numFmtId="164"/>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7E5DF3D-CC8A-4687-B106-3144E5D4D0C5}"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E32" firstHeaderRow="1" firstDataRow="1" firstDataCol="1"/>
  <pivotFields count="20">
    <pivotField showAll="0">
      <items count="6">
        <item x="4"/>
        <item x="0"/>
        <item x="2"/>
        <item x="1"/>
        <item x="3"/>
        <item t="default"/>
      </items>
    </pivotField>
    <pivotField axis="axisRow" showAll="0">
      <items count="9">
        <item x="1"/>
        <item x="5"/>
        <item x="2"/>
        <item x="6"/>
        <item x="3"/>
        <item x="7"/>
        <item x="4"/>
        <item x="0"/>
        <item t="default"/>
      </items>
    </pivotField>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9">
    <i>
      <x/>
    </i>
    <i>
      <x v="1"/>
    </i>
    <i>
      <x v="2"/>
    </i>
    <i>
      <x v="3"/>
    </i>
    <i>
      <x v="4"/>
    </i>
    <i>
      <x v="5"/>
    </i>
    <i>
      <x v="6"/>
    </i>
    <i>
      <x v="7"/>
    </i>
    <i t="grand">
      <x/>
    </i>
  </rowItems>
  <colItems count="1">
    <i/>
  </colItems>
  <dataFields count="1">
    <dataField name="Sum of Profit" fld="19"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9B2474-01F9-4B1F-B148-8625EA565A3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H10" firstHeaderRow="1" firstDataRow="1" firstDataCol="1"/>
  <pivotFields count="20">
    <pivotField showAll="0">
      <items count="6">
        <item x="4"/>
        <item x="0"/>
        <item x="2"/>
        <item x="1"/>
        <item x="3"/>
        <item t="default"/>
      </items>
    </pivotField>
    <pivotField showAll="0"/>
    <pivotField axis="axisRow" showAll="0">
      <items count="7">
        <item x="1"/>
        <item x="4"/>
        <item x="2"/>
        <item x="3"/>
        <item x="0"/>
        <item x="5"/>
        <item t="default"/>
      </items>
    </pivotField>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dataField="1" showAll="0"/>
    <pivotField showAll="0"/>
    <pivotField showAll="0"/>
    <pivotField showAll="0"/>
  </pivotFields>
  <rowFields count="1">
    <field x="2"/>
  </rowFields>
  <rowItems count="7">
    <i>
      <x/>
    </i>
    <i>
      <x v="1"/>
    </i>
    <i>
      <x v="2"/>
    </i>
    <i>
      <x v="3"/>
    </i>
    <i>
      <x v="4"/>
    </i>
    <i>
      <x v="5"/>
    </i>
    <i t="grand">
      <x/>
    </i>
  </rowItems>
  <colItems count="1">
    <i/>
  </colItems>
  <dataFields count="1">
    <dataField name="Sum of Net Sales" fld="16" baseField="0" baseItem="0" numFmtId="16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8C0BFD9-55A1-4DB4-9846-177B04D73C1E}"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3:B29" firstHeaderRow="1" firstDataRow="1" firstDataCol="1"/>
  <pivotFields count="20">
    <pivotField axis="axisRow" showAll="0">
      <items count="6">
        <item x="4"/>
        <item x="0"/>
        <item x="2"/>
        <item x="1"/>
        <item x="3"/>
        <item t="default"/>
      </items>
    </pivotField>
    <pivotField showAll="0"/>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showAll="0"/>
    <pivotField showAll="0"/>
    <pivotField showAll="0"/>
    <pivotField dataField="1" showAll="0"/>
  </pivotFields>
  <rowFields count="1">
    <field x="0"/>
  </rowFields>
  <rowItems count="6">
    <i>
      <x/>
    </i>
    <i>
      <x v="1"/>
    </i>
    <i>
      <x v="2"/>
    </i>
    <i>
      <x v="3"/>
    </i>
    <i>
      <x v="4"/>
    </i>
    <i t="grand">
      <x/>
    </i>
  </rowItems>
  <colItems count="1">
    <i/>
  </colItems>
  <dataFields count="1">
    <dataField name="Sum of Profit" fld="19"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853867E-2297-43B9-8FB3-F0A331849F95}"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9:H46" firstHeaderRow="1" firstDataRow="1" firstDataCol="1"/>
  <pivotFields count="20">
    <pivotField showAll="0">
      <items count="6">
        <item x="4"/>
        <item x="0"/>
        <item x="2"/>
        <item x="1"/>
        <item x="3"/>
        <item t="default"/>
      </items>
    </pivotField>
    <pivotField showAll="0">
      <items count="9">
        <item x="1"/>
        <item x="5"/>
        <item x="2"/>
        <item x="6"/>
        <item x="3"/>
        <item x="7"/>
        <item x="4"/>
        <item x="0"/>
        <item t="default"/>
      </items>
    </pivotField>
    <pivotField axis="axisRow" showAll="0" sortType="ascending">
      <items count="7">
        <item x="1"/>
        <item x="4"/>
        <item x="2"/>
        <item x="3"/>
        <item x="0"/>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dataField="1" showAll="0"/>
    <pivotField showAll="0"/>
    <pivotField showAll="0"/>
    <pivotField showAll="0"/>
    <pivotField showAll="0"/>
    <pivotField showAll="0"/>
    <pivotField showAll="0"/>
    <pivotField showAll="0"/>
    <pivotField showAll="0"/>
  </pivotFields>
  <rowFields count="1">
    <field x="2"/>
  </rowFields>
  <rowItems count="7">
    <i>
      <x v="2"/>
    </i>
    <i>
      <x v="4"/>
    </i>
    <i>
      <x v="5"/>
    </i>
    <i>
      <x v="1"/>
    </i>
    <i>
      <x v="3"/>
    </i>
    <i>
      <x/>
    </i>
    <i t="grand">
      <x/>
    </i>
  </rowItems>
  <colItems count="1">
    <i/>
  </colItems>
  <dataFields count="1">
    <dataField name="Sum of Units Sold" fld="11" baseField="0" baseItem="0"/>
  </dataFields>
  <formats count="1">
    <format dxfId="6">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2DE987D-7BA0-4E34-8500-4FC8EE83863F}"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30" firstHeaderRow="1" firstDataRow="1" firstDataCol="1"/>
  <pivotFields count="20">
    <pivotField showAll="0">
      <items count="6">
        <item x="4"/>
        <item x="0"/>
        <item x="2"/>
        <item x="1"/>
        <item x="3"/>
        <item t="default"/>
      </items>
    </pivotField>
    <pivotField showAll="0"/>
    <pivotField axis="axisRow" showAll="0">
      <items count="7">
        <item x="1"/>
        <item x="4"/>
        <item x="2"/>
        <item x="3"/>
        <item x="0"/>
        <item x="5"/>
        <item t="default"/>
      </items>
    </pivotField>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showAll="0"/>
    <pivotField showAll="0"/>
    <pivotField showAll="0"/>
    <pivotField dataField="1" showAll="0"/>
  </pivotFields>
  <rowFields count="1">
    <field x="2"/>
  </rowFields>
  <rowItems count="7">
    <i>
      <x/>
    </i>
    <i>
      <x v="1"/>
    </i>
    <i>
      <x v="2"/>
    </i>
    <i>
      <x v="3"/>
    </i>
    <i>
      <x v="4"/>
    </i>
    <i>
      <x v="5"/>
    </i>
    <i t="grand">
      <x/>
    </i>
  </rowItems>
  <colItems count="1">
    <i/>
  </colItems>
  <dataFields count="1">
    <dataField name="Sum of Profit" fld="19" baseField="0" baseItem="0"/>
  </dataFields>
  <formats count="1">
    <format dxfId="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322ED53-E03E-40B1-AA23-35D0E3BA0E6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D3:E12" firstHeaderRow="1" firstDataRow="1" firstDataCol="1"/>
  <pivotFields count="20">
    <pivotField showAll="0">
      <items count="6">
        <item x="4"/>
        <item x="0"/>
        <item x="2"/>
        <item x="1"/>
        <item x="3"/>
        <item t="default"/>
      </items>
    </pivotField>
    <pivotField axis="axisRow" showAll="0">
      <items count="9">
        <item x="1"/>
        <item x="5"/>
        <item x="2"/>
        <item x="6"/>
        <item x="3"/>
        <item x="7"/>
        <item x="4"/>
        <item x="0"/>
        <item t="default"/>
      </items>
    </pivotField>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9">
    <i>
      <x/>
    </i>
    <i>
      <x v="1"/>
    </i>
    <i>
      <x v="2"/>
    </i>
    <i>
      <x v="3"/>
    </i>
    <i>
      <x v="4"/>
    </i>
    <i>
      <x v="5"/>
    </i>
    <i>
      <x v="6"/>
    </i>
    <i>
      <x v="7"/>
    </i>
    <i t="grand">
      <x/>
    </i>
  </rowItems>
  <colItems count="1">
    <i/>
  </colItems>
  <dataFields count="1">
    <dataField name="Sum of Net Sales" fld="16" baseField="0" baseItem="0" numFmtId="165"/>
  </dataFields>
  <formats count="1">
    <format dxfId="8">
      <pivotArea outline="0" collapsedLevelsAreSubtotals="1" fieldPosition="0"/>
    </format>
  </format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07CFE8-CB8C-4408-AD3D-CDC1A9F71309}"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X14" firstHeaderRow="1" firstDataRow="1" firstDataCol="1"/>
  <pivotFields count="20">
    <pivotField showAll="0">
      <items count="6">
        <item x="4"/>
        <item x="0"/>
        <item x="2"/>
        <item x="1"/>
        <item x="3"/>
        <item t="default"/>
      </items>
    </pivotField>
    <pivotField showAll="0"/>
    <pivotField showAll="0"/>
    <pivotField showAll="0"/>
    <pivotField showAll="0"/>
    <pivotField axis="axisRow" showAll="0" measureFilter="1">
      <items count="95">
        <item x="92"/>
        <item x="72"/>
        <item x="18"/>
        <item x="50"/>
        <item x="75"/>
        <item x="8"/>
        <item x="45"/>
        <item x="81"/>
        <item x="52"/>
        <item x="61"/>
        <item x="9"/>
        <item x="74"/>
        <item x="40"/>
        <item x="21"/>
        <item x="12"/>
        <item x="65"/>
        <item x="57"/>
        <item x="39"/>
        <item x="30"/>
        <item x="49"/>
        <item x="68"/>
        <item x="55"/>
        <item x="51"/>
        <item x="13"/>
        <item x="54"/>
        <item x="87"/>
        <item x="15"/>
        <item x="33"/>
        <item x="5"/>
        <item x="70"/>
        <item x="73"/>
        <item x="76"/>
        <item x="85"/>
        <item x="62"/>
        <item x="27"/>
        <item x="63"/>
        <item x="83"/>
        <item x="24"/>
        <item x="11"/>
        <item x="64"/>
        <item x="93"/>
        <item x="32"/>
        <item x="42"/>
        <item x="79"/>
        <item x="89"/>
        <item x="1"/>
        <item x="3"/>
        <item x="67"/>
        <item x="77"/>
        <item x="43"/>
        <item x="47"/>
        <item x="91"/>
        <item x="66"/>
        <item x="34"/>
        <item x="84"/>
        <item x="48"/>
        <item x="56"/>
        <item x="17"/>
        <item x="38"/>
        <item x="29"/>
        <item x="4"/>
        <item x="31"/>
        <item x="44"/>
        <item x="90"/>
        <item x="60"/>
        <item x="0"/>
        <item x="71"/>
        <item x="36"/>
        <item x="20"/>
        <item x="7"/>
        <item x="69"/>
        <item x="26"/>
        <item x="88"/>
        <item x="25"/>
        <item x="35"/>
        <item x="6"/>
        <item x="41"/>
        <item x="16"/>
        <item x="58"/>
        <item x="22"/>
        <item x="80"/>
        <item x="2"/>
        <item x="28"/>
        <item x="23"/>
        <item x="82"/>
        <item x="59"/>
        <item x="46"/>
        <item x="37"/>
        <item x="10"/>
        <item x="19"/>
        <item x="86"/>
        <item x="53"/>
        <item x="78"/>
        <item x="14"/>
        <item t="default"/>
      </items>
    </pivotField>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dataField="1" showAll="0"/>
    <pivotField showAll="0"/>
    <pivotField showAll="0"/>
    <pivotField showAll="0"/>
  </pivotFields>
  <rowFields count="1">
    <field x="5"/>
  </rowFields>
  <rowItems count="11">
    <i>
      <x v="1"/>
    </i>
    <i>
      <x v="2"/>
    </i>
    <i>
      <x v="52"/>
    </i>
    <i>
      <x v="53"/>
    </i>
    <i>
      <x v="61"/>
    </i>
    <i>
      <x v="73"/>
    </i>
    <i>
      <x v="75"/>
    </i>
    <i>
      <x v="76"/>
    </i>
    <i>
      <x v="80"/>
    </i>
    <i>
      <x v="81"/>
    </i>
    <i t="grand">
      <x/>
    </i>
  </rowItems>
  <colItems count="1">
    <i/>
  </colItems>
  <dataFields count="1">
    <dataField name="Sum of Net Sales" fld="16" baseField="0" baseItem="0" numFmtId="164"/>
  </dataFields>
  <formats count="1">
    <format dxfId="9">
      <pivotArea outline="0" collapsedLevelsAreSubtotals="1" fieldPosition="0"/>
    </format>
  </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51CCEF9-7FD2-49EB-A646-86190CDC70D0}"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9:B45" firstHeaderRow="1" firstDataRow="1" firstDataCol="1"/>
  <pivotFields count="20">
    <pivotField axis="axisRow" showAll="0">
      <items count="6">
        <item x="4"/>
        <item x="0"/>
        <item x="2"/>
        <item x="1"/>
        <item x="3"/>
        <item t="default"/>
      </items>
    </pivotField>
    <pivotField showAll="0"/>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dataField="1" showAll="0"/>
    <pivotField showAll="0"/>
    <pivotField showAll="0"/>
    <pivotField showAll="0"/>
    <pivotField showAll="0"/>
    <pivotField showAll="0"/>
    <pivotField showAll="0"/>
    <pivotField showAll="0"/>
    <pivotField showAll="0"/>
  </pivotFields>
  <rowFields count="1">
    <field x="0"/>
  </rowFields>
  <rowItems count="6">
    <i>
      <x/>
    </i>
    <i>
      <x v="1"/>
    </i>
    <i>
      <x v="2"/>
    </i>
    <i>
      <x v="3"/>
    </i>
    <i>
      <x v="4"/>
    </i>
    <i t="grand">
      <x/>
    </i>
  </rowItems>
  <colItems count="1">
    <i/>
  </colItems>
  <dataFields count="1">
    <dataField name="Sum of Units Sold" fld="11" baseField="0" baseItem="0" numFmtId="2"/>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981CA60-D0F6-4D33-9006-C97FFE40A6A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20">
    <pivotField axis="axisRow" showAll="0"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dataField="1" showAll="0"/>
    <pivotField showAll="0"/>
    <pivotField showAll="0"/>
    <pivotField showAll="0"/>
  </pivotFields>
  <rowFields count="1">
    <field x="0"/>
  </rowFields>
  <rowItems count="6">
    <i>
      <x v="2"/>
    </i>
    <i>
      <x v="4"/>
    </i>
    <i>
      <x v="1"/>
    </i>
    <i>
      <x v="3"/>
    </i>
    <i>
      <x/>
    </i>
    <i t="grand">
      <x/>
    </i>
  </rowItems>
  <colItems count="1">
    <i/>
  </colItems>
  <dataFields count="1">
    <dataField name="Sum of Net Sales" fld="16" baseField="0" baseItem="0" numFmtId="164"/>
  </dataFields>
  <formats count="3">
    <format dxfId="13">
      <pivotArea outline="0" collapsedLevelsAreSubtotals="1" fieldPosition="0"/>
    </format>
    <format dxfId="12">
      <pivotArea grandRow="1" outline="0" collapsedLevelsAreSubtotals="1" fieldPosition="0"/>
    </format>
    <format dxfId="11">
      <pivotArea collapsedLevelsAreSubtotals="1" fieldPosition="0">
        <references count="1">
          <reference field="0" count="0"/>
        </references>
      </pivotArea>
    </format>
  </formats>
  <chartFormats count="6">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0" count="1" selected="0">
            <x v="2"/>
          </reference>
        </references>
      </pivotArea>
    </chartFormat>
    <chartFormat chart="4" format="14">
      <pivotArea type="data" outline="0" fieldPosition="0">
        <references count="2">
          <reference field="4294967294" count="1" selected="0">
            <x v="0"/>
          </reference>
          <reference field="0" count="1" selected="0">
            <x v="4"/>
          </reference>
        </references>
      </pivotArea>
    </chartFormat>
    <chartFormat chart="4" format="15">
      <pivotArea type="data" outline="0" fieldPosition="0">
        <references count="2">
          <reference field="4294967294" count="1" selected="0">
            <x v="0"/>
          </reference>
          <reference field="0" count="1" selected="0">
            <x v="1"/>
          </reference>
        </references>
      </pivotArea>
    </chartFormat>
    <chartFormat chart="4" format="16">
      <pivotArea type="data" outline="0" fieldPosition="0">
        <references count="2">
          <reference field="4294967294" count="1" selected="0">
            <x v="0"/>
          </reference>
          <reference field="0" count="1" selected="0">
            <x v="3"/>
          </reference>
        </references>
      </pivotArea>
    </chartFormat>
    <chartFormat chart="4" format="17">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163888A-7755-4FE6-84EA-130933CCAA3B}"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3:U8" firstHeaderRow="1" firstDataRow="1" firstDataCol="1"/>
  <pivotFields count="20">
    <pivotField showAll="0">
      <items count="6">
        <item x="4"/>
        <item x="0"/>
        <item x="2"/>
        <item x="1"/>
        <item x="3"/>
        <item t="default"/>
      </items>
    </pivotField>
    <pivotField showAll="0"/>
    <pivotField showAll="0"/>
    <pivotField showAll="0"/>
    <pivotField showAll="0"/>
    <pivotField showAll="0"/>
    <pivotField showAll="0"/>
    <pivotField numFmtId="14" showAll="0"/>
    <pivotField showAll="0">
      <items count="13">
        <item x="1"/>
        <item x="3"/>
        <item x="9"/>
        <item x="10"/>
        <item x="7"/>
        <item x="11"/>
        <item x="8"/>
        <item x="2"/>
        <item x="0"/>
        <item x="6"/>
        <item x="4"/>
        <item x="5"/>
        <item t="default"/>
      </items>
    </pivotField>
    <pivotField axis="axisRow" showAll="0">
      <items count="5">
        <item x="1"/>
        <item x="3"/>
        <item x="0"/>
        <item x="2"/>
        <item t="default"/>
      </items>
    </pivotField>
    <pivotField showAll="0">
      <items count="3">
        <item x="0"/>
        <item h="1" x="1"/>
        <item t="default"/>
      </items>
    </pivotField>
    <pivotField showAll="0"/>
    <pivotField showAll="0"/>
    <pivotField showAll="0"/>
    <pivotField showAll="0"/>
    <pivotField showAll="0"/>
    <pivotField dataField="1" showAll="0"/>
    <pivotField showAll="0"/>
    <pivotField showAll="0"/>
    <pivotField showAll="0"/>
  </pivotFields>
  <rowFields count="1">
    <field x="9"/>
  </rowFields>
  <rowItems count="5">
    <i>
      <x/>
    </i>
    <i>
      <x v="1"/>
    </i>
    <i>
      <x v="2"/>
    </i>
    <i>
      <x v="3"/>
    </i>
    <i t="grand">
      <x/>
    </i>
  </rowItems>
  <colItems count="1">
    <i/>
  </colItems>
  <dataFields count="1">
    <dataField name="Sum of Net Sales" fld="16" baseField="0" baseItem="0" numFmtId="164"/>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EF1BB7C-4BBC-4E72-A41B-0DD33C0885EF}" autoFormatId="16" applyNumberFormats="0" applyBorderFormats="0" applyFontFormats="0" applyPatternFormats="0" applyAlignmentFormats="0" applyWidthHeightFormats="0">
  <queryTableRefresh nextId="21">
    <queryTableFields count="20">
      <queryTableField id="1" name="Segment" tableColumnId="1"/>
      <queryTableField id="2" name="Country" tableColumnId="2"/>
      <queryTableField id="3" name="Product_Name" tableColumnId="3"/>
      <queryTableField id="4" name="Customer_ID" tableColumnId="4"/>
      <queryTableField id="5" name="Product_ID" tableColumnId="5"/>
      <queryTableField id="6" name="Customer_Name" tableColumnId="6"/>
      <queryTableField id="7" name="Discount Band" tableColumnId="7"/>
      <queryTableField id="8" name="Date" tableColumnId="8"/>
      <queryTableField id="9" name="Month" tableColumnId="9"/>
      <queryTableField id="10" name="Quarter" tableColumnId="10"/>
      <queryTableField id="11" name="Year" tableColumnId="11"/>
      <queryTableField id="12" name="Units Sold" tableColumnId="12"/>
      <queryTableField id="13" name="Manufacturing Price" tableColumnId="13"/>
      <queryTableField id="14" name="Sale Price" tableColumnId="14"/>
      <queryTableField id="15" name="Gross Sales" tableColumnId="15"/>
      <queryTableField id="16" name="Discounts" tableColumnId="16"/>
      <queryTableField id="17" name="Net Sales" tableColumnId="17"/>
      <queryTableField id="18" name="Sales ('000)" tableColumnId="18"/>
      <queryTableField id="19" name="COGS" tableColumnId="19"/>
      <queryTableField id="20" name="Profit"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DF78FA8-3E48-4A41-849F-FD48FFCF6546}" autoFormatId="16" applyNumberFormats="0" applyBorderFormats="0" applyFontFormats="0" applyPatternFormats="0" applyAlignmentFormats="0" applyWidthHeightFormats="0">
  <queryTableRefresh nextId="4">
    <queryTableFields count="3">
      <queryTableField id="1" name="Budget" tableColumnId="1"/>
      <queryTableField id="2" name="KPIs " tableColumnId="2"/>
      <queryTableField id="3" name="Target"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EC5058A-B732-4B77-95AB-3F54B4058FBB}" sourceName="Year">
  <pivotTables>
    <pivotTable tabId="1" name="PivotTable5"/>
    <pivotTable tabId="1" name="PivotTable10"/>
    <pivotTable tabId="1" name="PivotTable11"/>
    <pivotTable tabId="1" name="PivotTable13"/>
    <pivotTable tabId="1" name="PivotTable14"/>
    <pivotTable tabId="1" name="PivotTable15"/>
    <pivotTable tabId="1" name="PivotTable3"/>
    <pivotTable tabId="1" name="PivotTable4"/>
    <pivotTable tabId="1" name="PivotTable6"/>
    <pivotTable tabId="1" name="PivotTable7"/>
    <pivotTable tabId="1" name="PivotTable8"/>
    <pivotTable tabId="1" name="PivotTable9"/>
  </pivotTables>
  <data>
    <tabular pivotCacheId="1780925211">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3159F3C-AE4B-4EAD-BFD0-2F64022E3E82}" sourceName="Month">
  <pivotTables>
    <pivotTable tabId="1" name="PivotTable5"/>
    <pivotTable tabId="1" name="PivotTable10"/>
    <pivotTable tabId="1" name="PivotTable11"/>
    <pivotTable tabId="1" name="PivotTable12"/>
    <pivotTable tabId="1" name="PivotTable13"/>
    <pivotTable tabId="1" name="PivotTable14"/>
    <pivotTable tabId="1" name="PivotTable15"/>
    <pivotTable tabId="1" name="PivotTable3"/>
    <pivotTable tabId="1" name="PivotTable4"/>
    <pivotTable tabId="1" name="PivotTable6"/>
    <pivotTable tabId="1" name="PivotTable7"/>
    <pivotTable tabId="1" name="PivotTable8"/>
    <pivotTable tabId="1" name="PivotTable9"/>
  </pivotTables>
  <data>
    <tabular pivotCacheId="1780925211">
      <items count="12">
        <i x="1" s="1"/>
        <i x="3" s="1"/>
        <i x="9" s="1"/>
        <i x="10" s="1"/>
        <i x="7" s="1"/>
        <i x="11" s="1"/>
        <i x="8" s="1"/>
        <i x="2" s="1"/>
        <i x="0" s="1"/>
        <i x="6" s="1"/>
        <i x="4"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4736B920-58C7-4A99-8617-F81DEED414EC}" sourceName="Quarter">
  <pivotTables>
    <pivotTable tabId="1" name="PivotTable5"/>
    <pivotTable tabId="1" name="PivotTable10"/>
    <pivotTable tabId="1" name="PivotTable11"/>
    <pivotTable tabId="1" name="PivotTable12"/>
    <pivotTable tabId="1" name="PivotTable13"/>
    <pivotTable tabId="1" name="PivotTable14"/>
    <pivotTable tabId="1" name="PivotTable15"/>
    <pivotTable tabId="1" name="PivotTable3"/>
    <pivotTable tabId="1" name="PivotTable4"/>
    <pivotTable tabId="1" name="PivotTable6"/>
    <pivotTable tabId="1" name="PivotTable7"/>
    <pivotTable tabId="1" name="PivotTable8"/>
    <pivotTable tabId="1" name="PivotTable9"/>
  </pivotTables>
  <data>
    <tabular pivotCacheId="1780925211">
      <items count="4">
        <i x="1" s="1"/>
        <i x="3"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3B1A55AB-199A-43F9-A9CE-B1D50E94E336}" sourceName="Segment">
  <pivotTables>
    <pivotTable tabId="1" name="PivotTable5"/>
    <pivotTable tabId="1" name="PivotTable10"/>
    <pivotTable tabId="1" name="PivotTable11"/>
    <pivotTable tabId="1" name="PivotTable13"/>
    <pivotTable tabId="1" name="PivotTable14"/>
    <pivotTable tabId="1" name="PivotTable15"/>
    <pivotTable tabId="1" name="PivotTable3"/>
    <pivotTable tabId="1" name="PivotTable4"/>
    <pivotTable tabId="1" name="PivotTable6"/>
    <pivotTable tabId="1" name="PivotTable7"/>
    <pivotTable tabId="1" name="PivotTable8"/>
    <pivotTable tabId="1" name="PivotTable9"/>
  </pivotTables>
  <data>
    <tabular pivotCacheId="1780925211">
      <items count="5">
        <i x="4" s="1"/>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4E0A665-3D61-4AC2-8EA0-D12035E0504A}" cache="Slicer_Year" caption="Year" style="Custom" rowHeight="241300"/>
  <slicer name="Month" xr10:uid="{7807E93B-DAD9-4D1B-86B2-3AC20570DA38}" cache="Slicer_Month" caption="Month" style="Custom" rowHeight="241300"/>
  <slicer name="Quarter" xr10:uid="{F8626F45-E1A6-47A7-A2CC-76FF3EC6DDEB}" cache="Slicer_Quarter" columnCount="4" style="Custom" rowHeight="241300"/>
  <slicer name="Segment" xr10:uid="{E43857EB-4CE6-4C40-8D75-26938E1D124F}" cache="Slicer_Segment" caption="Segment" style="Custom"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CE9EAC-6810-4535-B4F8-7EE8CD14F8FE}" name="Data" displayName="Data" ref="A1:T701" tableType="queryTable" totalsRowShown="0">
  <autoFilter ref="A1:T701" xr:uid="{7ECE9EAC-6810-4535-B4F8-7EE8CD14F8FE}"/>
  <tableColumns count="20">
    <tableColumn id="1" xr3:uid="{13CA8522-1753-4417-A5BB-85621EEDFF25}" uniqueName="1" name="Segment" queryTableFieldId="1" dataDxfId="28"/>
    <tableColumn id="2" xr3:uid="{968BD6C6-D5BE-4432-9CCE-D44726BC2795}" uniqueName="2" name="Country" queryTableFieldId="2" dataDxfId="27"/>
    <tableColumn id="3" xr3:uid="{8686C153-C8CA-4CFD-B42C-3AC590BCEF5C}" uniqueName="3" name="Product_Name" queryTableFieldId="3" dataDxfId="26"/>
    <tableColumn id="4" xr3:uid="{031EC503-7C35-4876-8F27-E76B1F69A3B5}" uniqueName="4" name="Customer_ID" queryTableFieldId="4" dataDxfId="25"/>
    <tableColumn id="5" xr3:uid="{224A8534-9F9E-4C5C-BE02-75BBBA3DCFC3}" uniqueName="5" name="Product_ID" queryTableFieldId="5" dataDxfId="24"/>
    <tableColumn id="6" xr3:uid="{85E8B3F2-7DBD-4AA0-BF41-BEF5CD7F5993}" uniqueName="6" name="Customer_Name" queryTableFieldId="6" dataDxfId="23"/>
    <tableColumn id="7" xr3:uid="{5E0C0CEE-4DBC-47CE-82DD-1D025949A5B3}" uniqueName="7" name="Discount Band" queryTableFieldId="7" dataDxfId="22"/>
    <tableColumn id="8" xr3:uid="{49594D96-8062-403F-A6E7-383436ABEE05}" uniqueName="8" name="Date" queryTableFieldId="8" dataDxfId="21"/>
    <tableColumn id="9" xr3:uid="{75DF30EB-C61C-4634-9106-68AA77654540}" uniqueName="9" name="Month" queryTableFieldId="9" dataDxfId="20"/>
    <tableColumn id="10" xr3:uid="{2BEBE86E-1082-430F-810C-74393BE56A1A}" uniqueName="10" name="Quarter" queryTableFieldId="10" dataDxfId="19"/>
    <tableColumn id="11" xr3:uid="{8C1AF8CB-3741-4727-8846-0EE28095F5B5}" uniqueName="11" name="Year" queryTableFieldId="11"/>
    <tableColumn id="12" xr3:uid="{E7C3D290-8940-475E-8B7C-BD1CD9EF371D}" uniqueName="12" name="Units Sold" queryTableFieldId="12"/>
    <tableColumn id="13" xr3:uid="{59D14C9B-689F-448D-A335-A4400E219FCD}" uniqueName="13" name="Manufacturing Price" queryTableFieldId="13"/>
    <tableColumn id="14" xr3:uid="{2A7CB0E5-58DD-4436-9527-03A9181E3E06}" uniqueName="14" name="Sale Price" queryTableFieldId="14"/>
    <tableColumn id="15" xr3:uid="{A265250E-ACC5-4EBB-8706-34057A2517FF}" uniqueName="15" name="Gross Sales" queryTableFieldId="15"/>
    <tableColumn id="16" xr3:uid="{6198625B-3E8D-4F02-AC2C-FCF3BE571F2F}" uniqueName="16" name="Discounts" queryTableFieldId="16"/>
    <tableColumn id="17" xr3:uid="{CBDB7BB3-17C4-48A8-A6DD-6A5A44259300}" uniqueName="17" name="Net Sales" queryTableFieldId="17"/>
    <tableColumn id="18" xr3:uid="{DA1A9C63-197A-4A1B-A11F-11E91455A773}" uniqueName="18" name="Sales ('000)" queryTableFieldId="18"/>
    <tableColumn id="19" xr3:uid="{8711D4C2-877D-46C2-A35F-2F8E230E8B93}" uniqueName="19" name="COGS" queryTableFieldId="19"/>
    <tableColumn id="20" xr3:uid="{3E002C5C-B4B4-4BD5-8D71-AB862EA6954C}" uniqueName="20" name="Profit" queryTableFieldId="2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AAB365-6BC9-4060-B98F-889C8E4B8777}" name="Sheet1" displayName="Sheet1" ref="A1:C14" tableType="queryTable" totalsRowShown="0">
  <autoFilter ref="A1:C14" xr:uid="{A5AAB365-6BC9-4060-B98F-889C8E4B8777}"/>
  <tableColumns count="3">
    <tableColumn id="1" xr3:uid="{847F8776-02C6-4F1C-AA60-E3A1D739998B}" uniqueName="1" name="Budget" queryTableFieldId="1"/>
    <tableColumn id="2" xr3:uid="{DE1AA4AF-A700-4669-8212-71822BD04040}" uniqueName="2" name="KPIs " queryTableFieldId="2"/>
    <tableColumn id="3" xr3:uid="{38BB7B25-B844-40DC-94E4-5D4D105B978F}" uniqueName="3" name="Target"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292E5-0792-4899-9930-3705F82091E5}">
  <sheetPr codeName="Sheet1"/>
  <dimension ref="A1:V701"/>
  <sheetViews>
    <sheetView topLeftCell="H1" workbookViewId="0">
      <selection activeCell="V3" sqref="V3"/>
    </sheetView>
  </sheetViews>
  <sheetFormatPr defaultRowHeight="14.5" x14ac:dyDescent="0.35"/>
  <cols>
    <col min="1" max="1" width="15.1796875" bestFit="1" customWidth="1"/>
    <col min="2" max="2" width="9.81640625" bestFit="1" customWidth="1"/>
    <col min="3" max="3" width="15.7265625" bestFit="1" customWidth="1"/>
    <col min="4" max="4" width="14.08984375" bestFit="1" customWidth="1"/>
    <col min="5" max="5" width="12.54296875" bestFit="1" customWidth="1"/>
    <col min="6" max="6" width="17.26953125" bestFit="1" customWidth="1"/>
    <col min="7" max="7" width="15.26953125" bestFit="1" customWidth="1"/>
    <col min="8" max="8" width="10.08984375" bestFit="1" customWidth="1"/>
    <col min="9" max="9" width="8.81640625" bestFit="1" customWidth="1"/>
    <col min="10" max="10" width="9.7265625" bestFit="1" customWidth="1"/>
    <col min="11" max="11" width="6.81640625" bestFit="1" customWidth="1"/>
    <col min="12" max="12" width="11.453125" bestFit="1" customWidth="1"/>
    <col min="13" max="13" width="20.1796875" bestFit="1" customWidth="1"/>
    <col min="14" max="14" width="11" bestFit="1" customWidth="1"/>
    <col min="15" max="15" width="12.453125" bestFit="1" customWidth="1"/>
    <col min="16" max="16" width="11.26953125" bestFit="1" customWidth="1"/>
    <col min="17" max="17" width="10.81640625" bestFit="1" customWidth="1"/>
    <col min="18" max="18" width="12.453125" bestFit="1" customWidth="1"/>
    <col min="19" max="19" width="7.81640625" bestFit="1" customWidth="1"/>
    <col min="20" max="20" width="11.453125" bestFit="1" customWidth="1"/>
  </cols>
  <sheetData>
    <row r="1" spans="1:22"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2" x14ac:dyDescent="0.35">
      <c r="A2" t="s">
        <v>20</v>
      </c>
      <c r="B2" t="s">
        <v>21</v>
      </c>
      <c r="C2" t="s">
        <v>22</v>
      </c>
      <c r="D2" t="s">
        <v>23</v>
      </c>
      <c r="E2" t="s">
        <v>24</v>
      </c>
      <c r="F2" t="s">
        <v>25</v>
      </c>
      <c r="G2" t="s">
        <v>26</v>
      </c>
      <c r="H2" s="1">
        <v>44096</v>
      </c>
      <c r="I2" t="s">
        <v>27</v>
      </c>
      <c r="J2" t="s">
        <v>28</v>
      </c>
      <c r="K2">
        <v>2020</v>
      </c>
      <c r="L2">
        <v>414</v>
      </c>
      <c r="M2">
        <v>6</v>
      </c>
      <c r="N2">
        <v>188</v>
      </c>
      <c r="O2">
        <v>77832</v>
      </c>
      <c r="P2">
        <v>0</v>
      </c>
      <c r="Q2">
        <v>77832</v>
      </c>
      <c r="R2">
        <v>43.125</v>
      </c>
      <c r="S2">
        <v>2484</v>
      </c>
      <c r="T2">
        <v>75348</v>
      </c>
      <c r="V2">
        <f>6*414</f>
        <v>2484</v>
      </c>
    </row>
    <row r="3" spans="1:22" x14ac:dyDescent="0.35">
      <c r="A3" t="s">
        <v>29</v>
      </c>
      <c r="B3" t="s">
        <v>30</v>
      </c>
      <c r="C3" t="s">
        <v>31</v>
      </c>
      <c r="D3" t="s">
        <v>32</v>
      </c>
      <c r="E3" t="s">
        <v>33</v>
      </c>
      <c r="F3" t="s">
        <v>34</v>
      </c>
      <c r="G3" t="s">
        <v>26</v>
      </c>
      <c r="H3" s="1">
        <v>43841</v>
      </c>
      <c r="I3" t="s">
        <v>35</v>
      </c>
      <c r="J3" t="s">
        <v>36</v>
      </c>
      <c r="K3">
        <v>2020</v>
      </c>
      <c r="L3">
        <v>659</v>
      </c>
      <c r="M3">
        <v>12</v>
      </c>
      <c r="N3">
        <v>23</v>
      </c>
      <c r="O3">
        <v>15157</v>
      </c>
      <c r="P3">
        <v>0</v>
      </c>
      <c r="Q3">
        <v>15157</v>
      </c>
      <c r="R3">
        <v>8.2349999999999994</v>
      </c>
      <c r="S3">
        <v>7908</v>
      </c>
      <c r="T3">
        <v>7249</v>
      </c>
    </row>
    <row r="4" spans="1:22" x14ac:dyDescent="0.35">
      <c r="A4" t="s">
        <v>37</v>
      </c>
      <c r="B4" t="s">
        <v>38</v>
      </c>
      <c r="C4" t="s">
        <v>31</v>
      </c>
      <c r="D4" t="s">
        <v>39</v>
      </c>
      <c r="E4" t="s">
        <v>33</v>
      </c>
      <c r="F4" t="s">
        <v>40</v>
      </c>
      <c r="G4" t="s">
        <v>26</v>
      </c>
      <c r="H4" s="1">
        <v>44044</v>
      </c>
      <c r="I4" t="s">
        <v>41</v>
      </c>
      <c r="J4" t="s">
        <v>28</v>
      </c>
      <c r="K4">
        <v>2020</v>
      </c>
      <c r="L4">
        <v>2070</v>
      </c>
      <c r="M4">
        <v>12</v>
      </c>
      <c r="N4">
        <v>525</v>
      </c>
      <c r="O4">
        <v>1086750</v>
      </c>
      <c r="P4">
        <v>0</v>
      </c>
      <c r="Q4">
        <v>1086750</v>
      </c>
      <c r="R4">
        <v>603.75</v>
      </c>
      <c r="S4">
        <v>24840</v>
      </c>
      <c r="T4">
        <v>1061910</v>
      </c>
    </row>
    <row r="5" spans="1:22" x14ac:dyDescent="0.35">
      <c r="A5" t="s">
        <v>20</v>
      </c>
      <c r="B5" t="s">
        <v>42</v>
      </c>
      <c r="C5" t="s">
        <v>43</v>
      </c>
      <c r="D5" t="s">
        <v>44</v>
      </c>
      <c r="E5" t="s">
        <v>45</v>
      </c>
      <c r="F5" t="s">
        <v>46</v>
      </c>
      <c r="G5" t="s">
        <v>26</v>
      </c>
      <c r="H5" s="1">
        <v>44100</v>
      </c>
      <c r="I5" t="s">
        <v>27</v>
      </c>
      <c r="J5" t="s">
        <v>28</v>
      </c>
      <c r="K5">
        <v>2020</v>
      </c>
      <c r="L5">
        <v>414</v>
      </c>
      <c r="M5">
        <v>148</v>
      </c>
      <c r="N5">
        <v>188</v>
      </c>
      <c r="O5">
        <v>77832</v>
      </c>
      <c r="P5">
        <v>0</v>
      </c>
      <c r="Q5">
        <v>77832</v>
      </c>
      <c r="R5">
        <v>43.125</v>
      </c>
      <c r="S5">
        <v>61272</v>
      </c>
      <c r="T5">
        <v>16560</v>
      </c>
    </row>
    <row r="6" spans="1:22" x14ac:dyDescent="0.35">
      <c r="A6" t="s">
        <v>37</v>
      </c>
      <c r="B6" t="s">
        <v>47</v>
      </c>
      <c r="C6" t="s">
        <v>48</v>
      </c>
      <c r="D6" t="s">
        <v>49</v>
      </c>
      <c r="E6" t="s">
        <v>50</v>
      </c>
      <c r="F6" t="s">
        <v>51</v>
      </c>
      <c r="G6" t="s">
        <v>26</v>
      </c>
      <c r="H6" s="1">
        <v>43872</v>
      </c>
      <c r="I6" t="s">
        <v>52</v>
      </c>
      <c r="J6" t="s">
        <v>36</v>
      </c>
      <c r="K6">
        <v>2020</v>
      </c>
      <c r="L6">
        <v>1832</v>
      </c>
      <c r="M6">
        <v>308</v>
      </c>
      <c r="N6">
        <v>525</v>
      </c>
      <c r="O6">
        <v>961800</v>
      </c>
      <c r="P6">
        <v>0</v>
      </c>
      <c r="Q6">
        <v>961800</v>
      </c>
      <c r="R6">
        <v>534.45000000000005</v>
      </c>
      <c r="S6">
        <v>564256</v>
      </c>
      <c r="T6">
        <v>397544</v>
      </c>
    </row>
    <row r="7" spans="1:22" x14ac:dyDescent="0.35">
      <c r="A7" t="s">
        <v>53</v>
      </c>
      <c r="B7" t="s">
        <v>54</v>
      </c>
      <c r="C7" t="s">
        <v>55</v>
      </c>
      <c r="D7" t="s">
        <v>56</v>
      </c>
      <c r="E7" t="s">
        <v>57</v>
      </c>
      <c r="F7" t="s">
        <v>58</v>
      </c>
      <c r="G7" t="s">
        <v>59</v>
      </c>
      <c r="H7" s="1">
        <v>44154</v>
      </c>
      <c r="I7" t="s">
        <v>60</v>
      </c>
      <c r="J7" t="s">
        <v>61</v>
      </c>
      <c r="K7">
        <v>2020</v>
      </c>
      <c r="L7">
        <v>593</v>
      </c>
      <c r="M7">
        <v>4</v>
      </c>
      <c r="N7">
        <v>450</v>
      </c>
      <c r="O7">
        <v>266850</v>
      </c>
      <c r="P7">
        <v>2668.5</v>
      </c>
      <c r="Q7">
        <v>264181.5</v>
      </c>
      <c r="R7">
        <v>146.71799999999999</v>
      </c>
      <c r="S7">
        <v>2372</v>
      </c>
      <c r="T7">
        <v>261809.5</v>
      </c>
    </row>
    <row r="8" spans="1:22" x14ac:dyDescent="0.35">
      <c r="A8" t="s">
        <v>53</v>
      </c>
      <c r="B8" t="s">
        <v>38</v>
      </c>
      <c r="C8" t="s">
        <v>22</v>
      </c>
      <c r="D8" t="s">
        <v>62</v>
      </c>
      <c r="E8" t="s">
        <v>24</v>
      </c>
      <c r="F8" t="s">
        <v>63</v>
      </c>
      <c r="G8" t="s">
        <v>59</v>
      </c>
      <c r="H8" s="1">
        <v>44185</v>
      </c>
      <c r="I8" t="s">
        <v>64</v>
      </c>
      <c r="J8" t="s">
        <v>61</v>
      </c>
      <c r="K8">
        <v>2020</v>
      </c>
      <c r="L8">
        <v>2998</v>
      </c>
      <c r="M8">
        <v>6</v>
      </c>
      <c r="N8">
        <v>450</v>
      </c>
      <c r="O8">
        <v>1349100</v>
      </c>
      <c r="P8">
        <v>13491</v>
      </c>
      <c r="Q8">
        <v>1335609</v>
      </c>
      <c r="R8">
        <v>741.90599999999995</v>
      </c>
      <c r="S8">
        <v>17988</v>
      </c>
      <c r="T8">
        <v>1317621</v>
      </c>
    </row>
    <row r="9" spans="1:22" x14ac:dyDescent="0.35">
      <c r="A9" t="s">
        <v>20</v>
      </c>
      <c r="B9" t="s">
        <v>65</v>
      </c>
      <c r="C9" t="s">
        <v>22</v>
      </c>
      <c r="D9" t="s">
        <v>66</v>
      </c>
      <c r="E9" t="s">
        <v>24</v>
      </c>
      <c r="F9" t="s">
        <v>67</v>
      </c>
      <c r="G9" t="s">
        <v>59</v>
      </c>
      <c r="H9" s="1">
        <v>43888</v>
      </c>
      <c r="I9" t="s">
        <v>52</v>
      </c>
      <c r="J9" t="s">
        <v>36</v>
      </c>
      <c r="K9">
        <v>2020</v>
      </c>
      <c r="L9">
        <v>796</v>
      </c>
      <c r="M9">
        <v>6</v>
      </c>
      <c r="N9">
        <v>188</v>
      </c>
      <c r="O9">
        <v>149648</v>
      </c>
      <c r="P9">
        <v>1496.48</v>
      </c>
      <c r="Q9">
        <v>148151.51999999999</v>
      </c>
      <c r="R9">
        <v>82.046250000000001</v>
      </c>
      <c r="S9">
        <v>4776</v>
      </c>
      <c r="T9">
        <v>143375.51999999999</v>
      </c>
    </row>
    <row r="10" spans="1:22" x14ac:dyDescent="0.35">
      <c r="A10" t="s">
        <v>53</v>
      </c>
      <c r="B10" t="s">
        <v>38</v>
      </c>
      <c r="C10" t="s">
        <v>55</v>
      </c>
      <c r="D10" t="s">
        <v>68</v>
      </c>
      <c r="E10" t="s">
        <v>57</v>
      </c>
      <c r="F10" t="s">
        <v>69</v>
      </c>
      <c r="G10" t="s">
        <v>59</v>
      </c>
      <c r="H10" s="1">
        <v>44073</v>
      </c>
      <c r="I10" t="s">
        <v>41</v>
      </c>
      <c r="J10" t="s">
        <v>28</v>
      </c>
      <c r="K10">
        <v>2020</v>
      </c>
      <c r="L10">
        <v>257</v>
      </c>
      <c r="M10">
        <v>4</v>
      </c>
      <c r="N10">
        <v>450</v>
      </c>
      <c r="O10">
        <v>115650</v>
      </c>
      <c r="P10">
        <v>2313</v>
      </c>
      <c r="Q10">
        <v>113337</v>
      </c>
      <c r="R10">
        <v>62.915999999999997</v>
      </c>
      <c r="S10">
        <v>1028</v>
      </c>
      <c r="T10">
        <v>112309</v>
      </c>
    </row>
    <row r="11" spans="1:22" x14ac:dyDescent="0.35">
      <c r="A11" t="s">
        <v>37</v>
      </c>
      <c r="B11" t="s">
        <v>65</v>
      </c>
      <c r="C11" t="s">
        <v>55</v>
      </c>
      <c r="D11" t="s">
        <v>70</v>
      </c>
      <c r="E11" t="s">
        <v>57</v>
      </c>
      <c r="F11" t="s">
        <v>71</v>
      </c>
      <c r="G11" t="s">
        <v>59</v>
      </c>
      <c r="H11" s="1">
        <v>44119</v>
      </c>
      <c r="I11" t="s">
        <v>72</v>
      </c>
      <c r="J11" t="s">
        <v>61</v>
      </c>
      <c r="K11">
        <v>2020</v>
      </c>
      <c r="L11">
        <v>2574</v>
      </c>
      <c r="M11">
        <v>4</v>
      </c>
      <c r="N11">
        <v>11</v>
      </c>
      <c r="O11">
        <v>28314</v>
      </c>
      <c r="P11">
        <v>566.28</v>
      </c>
      <c r="Q11">
        <v>27747.72</v>
      </c>
      <c r="R11">
        <v>14.714700000000001</v>
      </c>
      <c r="S11">
        <v>10296</v>
      </c>
      <c r="T11">
        <v>17451.72</v>
      </c>
    </row>
    <row r="12" spans="1:22" x14ac:dyDescent="0.35">
      <c r="A12" t="s">
        <v>20</v>
      </c>
      <c r="B12" t="s">
        <v>42</v>
      </c>
      <c r="C12" t="s">
        <v>31</v>
      </c>
      <c r="D12" t="s">
        <v>73</v>
      </c>
      <c r="E12" t="s">
        <v>33</v>
      </c>
      <c r="F12" t="s">
        <v>74</v>
      </c>
      <c r="G12" t="s">
        <v>59</v>
      </c>
      <c r="H12" s="1">
        <v>44175</v>
      </c>
      <c r="I12" t="s">
        <v>64</v>
      </c>
      <c r="J12" t="s">
        <v>61</v>
      </c>
      <c r="K12">
        <v>2020</v>
      </c>
      <c r="L12">
        <v>971</v>
      </c>
      <c r="M12">
        <v>12</v>
      </c>
      <c r="N12">
        <v>188</v>
      </c>
      <c r="O12">
        <v>182548</v>
      </c>
      <c r="P12">
        <v>3650.96</v>
      </c>
      <c r="Q12">
        <v>178897.04</v>
      </c>
      <c r="R12">
        <v>99.102500000000006</v>
      </c>
      <c r="S12">
        <v>11652</v>
      </c>
      <c r="T12">
        <v>167245.04</v>
      </c>
    </row>
    <row r="13" spans="1:22" x14ac:dyDescent="0.35">
      <c r="A13" t="s">
        <v>20</v>
      </c>
      <c r="B13" t="s">
        <v>47</v>
      </c>
      <c r="C13" t="s">
        <v>31</v>
      </c>
      <c r="D13" t="s">
        <v>75</v>
      </c>
      <c r="E13" t="s">
        <v>33</v>
      </c>
      <c r="F13" t="s">
        <v>76</v>
      </c>
      <c r="G13" t="s">
        <v>59</v>
      </c>
      <c r="H13" s="1">
        <v>43974</v>
      </c>
      <c r="I13" t="s">
        <v>77</v>
      </c>
      <c r="J13" t="s">
        <v>78</v>
      </c>
      <c r="K13">
        <v>2020</v>
      </c>
      <c r="L13">
        <v>2574</v>
      </c>
      <c r="M13">
        <v>12</v>
      </c>
      <c r="N13">
        <v>188</v>
      </c>
      <c r="O13">
        <v>483912</v>
      </c>
      <c r="P13">
        <v>9678.24</v>
      </c>
      <c r="Q13">
        <v>474233.76</v>
      </c>
      <c r="R13">
        <v>262.76249999999999</v>
      </c>
      <c r="S13">
        <v>30888</v>
      </c>
      <c r="T13">
        <v>443345.76</v>
      </c>
    </row>
    <row r="14" spans="1:22" x14ac:dyDescent="0.35">
      <c r="A14" t="s">
        <v>79</v>
      </c>
      <c r="B14" t="s">
        <v>21</v>
      </c>
      <c r="C14" t="s">
        <v>31</v>
      </c>
      <c r="D14" t="s">
        <v>80</v>
      </c>
      <c r="E14" t="s">
        <v>33</v>
      </c>
      <c r="F14" t="s">
        <v>81</v>
      </c>
      <c r="G14" t="s">
        <v>59</v>
      </c>
      <c r="H14" s="1">
        <v>43879</v>
      </c>
      <c r="I14" t="s">
        <v>52</v>
      </c>
      <c r="J14" t="s">
        <v>36</v>
      </c>
      <c r="K14">
        <v>2020</v>
      </c>
      <c r="L14">
        <v>2142</v>
      </c>
      <c r="M14">
        <v>12</v>
      </c>
      <c r="N14">
        <v>18</v>
      </c>
      <c r="O14">
        <v>38556</v>
      </c>
      <c r="P14">
        <v>771.12</v>
      </c>
      <c r="Q14">
        <v>37784.879999999997</v>
      </c>
      <c r="R14">
        <v>20.991599999999998</v>
      </c>
      <c r="S14">
        <v>25704</v>
      </c>
      <c r="T14">
        <v>12080.879999999997</v>
      </c>
    </row>
    <row r="15" spans="1:22" x14ac:dyDescent="0.35">
      <c r="A15" t="s">
        <v>29</v>
      </c>
      <c r="B15" t="s">
        <v>30</v>
      </c>
      <c r="C15" t="s">
        <v>31</v>
      </c>
      <c r="D15" t="s">
        <v>82</v>
      </c>
      <c r="E15" t="s">
        <v>33</v>
      </c>
      <c r="F15" t="s">
        <v>83</v>
      </c>
      <c r="G15" t="s">
        <v>59</v>
      </c>
      <c r="H15" s="1">
        <v>43858</v>
      </c>
      <c r="I15" t="s">
        <v>35</v>
      </c>
      <c r="J15" t="s">
        <v>36</v>
      </c>
      <c r="K15">
        <v>2020</v>
      </c>
      <c r="L15">
        <v>2310</v>
      </c>
      <c r="M15">
        <v>12</v>
      </c>
      <c r="N15">
        <v>23</v>
      </c>
      <c r="O15">
        <v>53130</v>
      </c>
      <c r="P15">
        <v>1062.5999999999999</v>
      </c>
      <c r="Q15">
        <v>52067.4</v>
      </c>
      <c r="R15">
        <v>28.297499999999999</v>
      </c>
      <c r="S15">
        <v>27720</v>
      </c>
      <c r="T15">
        <v>24347.4</v>
      </c>
    </row>
    <row r="16" spans="1:22" x14ac:dyDescent="0.35">
      <c r="A16" t="s">
        <v>20</v>
      </c>
      <c r="B16" t="s">
        <v>84</v>
      </c>
      <c r="C16" t="s">
        <v>43</v>
      </c>
      <c r="D16" t="s">
        <v>85</v>
      </c>
      <c r="E16" t="s">
        <v>45</v>
      </c>
      <c r="F16" t="s">
        <v>86</v>
      </c>
      <c r="G16" t="s">
        <v>59</v>
      </c>
      <c r="H16" s="1">
        <v>43849</v>
      </c>
      <c r="I16" t="s">
        <v>35</v>
      </c>
      <c r="J16" t="s">
        <v>36</v>
      </c>
      <c r="K16">
        <v>2020</v>
      </c>
      <c r="L16">
        <v>2574</v>
      </c>
      <c r="M16">
        <v>148</v>
      </c>
      <c r="N16">
        <v>188</v>
      </c>
      <c r="O16">
        <v>483912</v>
      </c>
      <c r="P16">
        <v>9678.24</v>
      </c>
      <c r="Q16">
        <v>474233.76</v>
      </c>
      <c r="R16">
        <v>262.76249999999999</v>
      </c>
      <c r="S16">
        <v>380952</v>
      </c>
      <c r="T16">
        <v>93281.760000000009</v>
      </c>
    </row>
    <row r="17" spans="1:20" x14ac:dyDescent="0.35">
      <c r="A17" t="s">
        <v>37</v>
      </c>
      <c r="B17" t="s">
        <v>42</v>
      </c>
      <c r="C17" t="s">
        <v>43</v>
      </c>
      <c r="D17" t="s">
        <v>87</v>
      </c>
      <c r="E17" t="s">
        <v>45</v>
      </c>
      <c r="F17" t="s">
        <v>88</v>
      </c>
      <c r="G17" t="s">
        <v>59</v>
      </c>
      <c r="H17" s="1">
        <v>44042</v>
      </c>
      <c r="I17" t="s">
        <v>89</v>
      </c>
      <c r="J17" t="s">
        <v>28</v>
      </c>
      <c r="K17">
        <v>2020</v>
      </c>
      <c r="L17">
        <v>653</v>
      </c>
      <c r="M17">
        <v>148</v>
      </c>
      <c r="N17">
        <v>30</v>
      </c>
      <c r="O17">
        <v>19590</v>
      </c>
      <c r="P17">
        <v>391.8</v>
      </c>
      <c r="Q17">
        <v>19198.2</v>
      </c>
      <c r="R17">
        <v>10.6624</v>
      </c>
      <c r="S17">
        <v>96644</v>
      </c>
      <c r="T17">
        <v>-77445.8</v>
      </c>
    </row>
    <row r="18" spans="1:20" x14ac:dyDescent="0.35">
      <c r="A18" t="s">
        <v>53</v>
      </c>
      <c r="B18" t="s">
        <v>47</v>
      </c>
      <c r="C18" t="s">
        <v>48</v>
      </c>
      <c r="D18" t="s">
        <v>90</v>
      </c>
      <c r="E18" t="s">
        <v>50</v>
      </c>
      <c r="F18" t="s">
        <v>91</v>
      </c>
      <c r="G18" t="s">
        <v>59</v>
      </c>
      <c r="H18" s="1">
        <v>43882</v>
      </c>
      <c r="I18" t="s">
        <v>52</v>
      </c>
      <c r="J18" t="s">
        <v>36</v>
      </c>
      <c r="K18">
        <v>2020</v>
      </c>
      <c r="L18">
        <v>257</v>
      </c>
      <c r="M18">
        <v>308</v>
      </c>
      <c r="N18">
        <v>450</v>
      </c>
      <c r="O18">
        <v>115650</v>
      </c>
      <c r="P18">
        <v>2313</v>
      </c>
      <c r="Q18">
        <v>113337</v>
      </c>
      <c r="R18">
        <v>62.915999999999997</v>
      </c>
      <c r="S18">
        <v>79156</v>
      </c>
      <c r="T18">
        <v>34181</v>
      </c>
    </row>
    <row r="19" spans="1:20" x14ac:dyDescent="0.35">
      <c r="A19" t="s">
        <v>37</v>
      </c>
      <c r="B19" t="s">
        <v>65</v>
      </c>
      <c r="C19" t="s">
        <v>22</v>
      </c>
      <c r="D19" t="s">
        <v>92</v>
      </c>
      <c r="E19" t="s">
        <v>24</v>
      </c>
      <c r="F19" t="s">
        <v>93</v>
      </c>
      <c r="G19" t="s">
        <v>59</v>
      </c>
      <c r="H19" s="1">
        <v>43967</v>
      </c>
      <c r="I19" t="s">
        <v>77</v>
      </c>
      <c r="J19" t="s">
        <v>78</v>
      </c>
      <c r="K19">
        <v>2020</v>
      </c>
      <c r="L19">
        <v>2156</v>
      </c>
      <c r="M19">
        <v>6</v>
      </c>
      <c r="N19">
        <v>525</v>
      </c>
      <c r="O19">
        <v>1131900</v>
      </c>
      <c r="P19">
        <v>33957</v>
      </c>
      <c r="Q19">
        <v>1097943</v>
      </c>
      <c r="R19">
        <v>610.08150000000001</v>
      </c>
      <c r="S19">
        <v>12936</v>
      </c>
      <c r="T19">
        <v>1085007</v>
      </c>
    </row>
    <row r="20" spans="1:20" x14ac:dyDescent="0.35">
      <c r="A20" t="s">
        <v>37</v>
      </c>
      <c r="B20" t="s">
        <v>47</v>
      </c>
      <c r="C20" t="s">
        <v>31</v>
      </c>
      <c r="D20" t="s">
        <v>94</v>
      </c>
      <c r="E20" t="s">
        <v>33</v>
      </c>
      <c r="F20" t="s">
        <v>95</v>
      </c>
      <c r="G20" t="s">
        <v>59</v>
      </c>
      <c r="H20" s="1">
        <v>44138</v>
      </c>
      <c r="I20" t="s">
        <v>60</v>
      </c>
      <c r="J20" t="s">
        <v>61</v>
      </c>
      <c r="K20">
        <v>2020</v>
      </c>
      <c r="L20">
        <v>2112</v>
      </c>
      <c r="M20">
        <v>12</v>
      </c>
      <c r="N20">
        <v>11</v>
      </c>
      <c r="O20">
        <v>23232</v>
      </c>
      <c r="P20">
        <v>696.96</v>
      </c>
      <c r="Q20">
        <v>22535.040000000001</v>
      </c>
      <c r="R20">
        <v>11.9504</v>
      </c>
      <c r="S20">
        <v>25344</v>
      </c>
      <c r="T20">
        <v>-2808.9599999999991</v>
      </c>
    </row>
    <row r="21" spans="1:20" x14ac:dyDescent="0.35">
      <c r="A21" t="s">
        <v>37</v>
      </c>
      <c r="B21" t="s">
        <v>54</v>
      </c>
      <c r="C21" t="s">
        <v>22</v>
      </c>
      <c r="D21" t="s">
        <v>96</v>
      </c>
      <c r="E21" t="s">
        <v>24</v>
      </c>
      <c r="F21" t="s">
        <v>97</v>
      </c>
      <c r="G21" t="s">
        <v>59</v>
      </c>
      <c r="H21" s="1">
        <v>44026</v>
      </c>
      <c r="I21" t="s">
        <v>89</v>
      </c>
      <c r="J21" t="s">
        <v>28</v>
      </c>
      <c r="K21">
        <v>2020</v>
      </c>
      <c r="L21">
        <v>3421</v>
      </c>
      <c r="M21">
        <v>6</v>
      </c>
      <c r="N21">
        <v>11</v>
      </c>
      <c r="O21">
        <v>37631</v>
      </c>
      <c r="P21">
        <v>1505.24</v>
      </c>
      <c r="Q21">
        <v>36125.760000000002</v>
      </c>
      <c r="R21">
        <v>19.158720000000002</v>
      </c>
      <c r="S21">
        <v>20526</v>
      </c>
      <c r="T21">
        <v>15599.760000000002</v>
      </c>
    </row>
    <row r="22" spans="1:20" x14ac:dyDescent="0.35">
      <c r="A22" t="s">
        <v>29</v>
      </c>
      <c r="B22" t="s">
        <v>30</v>
      </c>
      <c r="C22" t="s">
        <v>31</v>
      </c>
      <c r="D22" t="s">
        <v>82</v>
      </c>
      <c r="E22" t="s">
        <v>33</v>
      </c>
      <c r="F22" t="s">
        <v>83</v>
      </c>
      <c r="G22" t="s">
        <v>59</v>
      </c>
      <c r="H22" s="1">
        <v>43845</v>
      </c>
      <c r="I22" t="s">
        <v>35</v>
      </c>
      <c r="J22" t="s">
        <v>36</v>
      </c>
      <c r="K22">
        <v>2020</v>
      </c>
      <c r="L22">
        <v>805</v>
      </c>
      <c r="M22">
        <v>12</v>
      </c>
      <c r="N22">
        <v>23</v>
      </c>
      <c r="O22">
        <v>18515</v>
      </c>
      <c r="P22">
        <v>740.6</v>
      </c>
      <c r="Q22">
        <v>17774.400000000001</v>
      </c>
      <c r="R22">
        <v>9.6623999999999999</v>
      </c>
      <c r="S22">
        <v>9660</v>
      </c>
      <c r="T22">
        <v>8114.4000000000015</v>
      </c>
    </row>
    <row r="23" spans="1:20" x14ac:dyDescent="0.35">
      <c r="A23" t="s">
        <v>37</v>
      </c>
      <c r="B23" t="s">
        <v>21</v>
      </c>
      <c r="C23" t="s">
        <v>48</v>
      </c>
      <c r="D23" t="s">
        <v>98</v>
      </c>
      <c r="E23" t="s">
        <v>50</v>
      </c>
      <c r="F23" t="s">
        <v>99</v>
      </c>
      <c r="G23" t="s">
        <v>59</v>
      </c>
      <c r="H23" s="1">
        <v>43877</v>
      </c>
      <c r="I23" t="s">
        <v>52</v>
      </c>
      <c r="J23" t="s">
        <v>36</v>
      </c>
      <c r="K23">
        <v>2020</v>
      </c>
      <c r="L23">
        <v>419</v>
      </c>
      <c r="M23">
        <v>308</v>
      </c>
      <c r="N23">
        <v>525</v>
      </c>
      <c r="O23">
        <v>219975</v>
      </c>
      <c r="P23">
        <v>8799</v>
      </c>
      <c r="Q23">
        <v>211176</v>
      </c>
      <c r="R23">
        <v>117.264</v>
      </c>
      <c r="S23">
        <v>129052</v>
      </c>
      <c r="T23">
        <v>82124</v>
      </c>
    </row>
    <row r="24" spans="1:20" x14ac:dyDescent="0.35">
      <c r="A24" t="s">
        <v>29</v>
      </c>
      <c r="B24" t="s">
        <v>65</v>
      </c>
      <c r="C24" t="s">
        <v>48</v>
      </c>
      <c r="D24" t="s">
        <v>100</v>
      </c>
      <c r="E24" t="s">
        <v>50</v>
      </c>
      <c r="F24" t="s">
        <v>101</v>
      </c>
      <c r="G24" t="s">
        <v>59</v>
      </c>
      <c r="H24" s="1">
        <v>44089</v>
      </c>
      <c r="I24" t="s">
        <v>27</v>
      </c>
      <c r="J24" t="s">
        <v>28</v>
      </c>
      <c r="K24">
        <v>2020</v>
      </c>
      <c r="L24">
        <v>1817</v>
      </c>
      <c r="M24">
        <v>308</v>
      </c>
      <c r="N24">
        <v>23</v>
      </c>
      <c r="O24">
        <v>41791</v>
      </c>
      <c r="P24">
        <v>1671.64</v>
      </c>
      <c r="Q24">
        <v>40119.360000000001</v>
      </c>
      <c r="R24">
        <v>21.801599999999997</v>
      </c>
      <c r="S24">
        <v>559636</v>
      </c>
      <c r="T24">
        <v>-519516.64</v>
      </c>
    </row>
    <row r="25" spans="1:20" x14ac:dyDescent="0.35">
      <c r="A25" t="s">
        <v>37</v>
      </c>
      <c r="B25" t="s">
        <v>42</v>
      </c>
      <c r="C25" t="s">
        <v>102</v>
      </c>
      <c r="D25" t="s">
        <v>103</v>
      </c>
      <c r="E25" t="s">
        <v>104</v>
      </c>
      <c r="F25" t="s">
        <v>105</v>
      </c>
      <c r="G25" t="s">
        <v>59</v>
      </c>
      <c r="H25" s="1">
        <v>44196</v>
      </c>
      <c r="I25" t="s">
        <v>64</v>
      </c>
      <c r="J25" t="s">
        <v>61</v>
      </c>
      <c r="K25">
        <v>2020</v>
      </c>
      <c r="L25">
        <v>2134</v>
      </c>
      <c r="M25">
        <v>320</v>
      </c>
      <c r="N25">
        <v>525</v>
      </c>
      <c r="O25">
        <v>1120350</v>
      </c>
      <c r="P25">
        <v>44814</v>
      </c>
      <c r="Q25">
        <v>1075536</v>
      </c>
      <c r="R25">
        <v>597.40800000000002</v>
      </c>
      <c r="S25">
        <v>682880</v>
      </c>
      <c r="T25">
        <v>392656</v>
      </c>
    </row>
    <row r="26" spans="1:20" x14ac:dyDescent="0.35">
      <c r="A26" t="s">
        <v>37</v>
      </c>
      <c r="B26" t="s">
        <v>54</v>
      </c>
      <c r="C26" t="s">
        <v>102</v>
      </c>
      <c r="D26" t="s">
        <v>106</v>
      </c>
      <c r="E26" t="s">
        <v>104</v>
      </c>
      <c r="F26" t="s">
        <v>107</v>
      </c>
      <c r="G26" t="s">
        <v>108</v>
      </c>
      <c r="H26" s="1">
        <v>43918</v>
      </c>
      <c r="I26" t="s">
        <v>109</v>
      </c>
      <c r="J26" t="s">
        <v>36</v>
      </c>
      <c r="K26">
        <v>2020</v>
      </c>
      <c r="L26">
        <v>1391</v>
      </c>
      <c r="M26">
        <v>320</v>
      </c>
      <c r="N26">
        <v>11</v>
      </c>
      <c r="O26">
        <v>15301</v>
      </c>
      <c r="P26">
        <v>765.05</v>
      </c>
      <c r="Q26">
        <v>14535.95</v>
      </c>
      <c r="R26">
        <v>7.7073499999999999</v>
      </c>
      <c r="S26">
        <v>445120</v>
      </c>
      <c r="T26">
        <v>-430584.05</v>
      </c>
    </row>
    <row r="27" spans="1:20" x14ac:dyDescent="0.35">
      <c r="A27" t="s">
        <v>37</v>
      </c>
      <c r="B27" t="s">
        <v>21</v>
      </c>
      <c r="C27" t="s">
        <v>22</v>
      </c>
      <c r="D27" t="s">
        <v>110</v>
      </c>
      <c r="E27" t="s">
        <v>24</v>
      </c>
      <c r="F27" t="s">
        <v>111</v>
      </c>
      <c r="G27" t="s">
        <v>108</v>
      </c>
      <c r="H27" s="1">
        <v>43929</v>
      </c>
      <c r="I27" t="s">
        <v>112</v>
      </c>
      <c r="J27" t="s">
        <v>78</v>
      </c>
      <c r="K27">
        <v>2020</v>
      </c>
      <c r="L27">
        <v>864</v>
      </c>
      <c r="M27">
        <v>6</v>
      </c>
      <c r="N27">
        <v>525</v>
      </c>
      <c r="O27">
        <v>453600</v>
      </c>
      <c r="P27">
        <v>22680</v>
      </c>
      <c r="Q27">
        <v>430920</v>
      </c>
      <c r="R27">
        <v>239.4</v>
      </c>
      <c r="S27">
        <v>5184</v>
      </c>
      <c r="T27">
        <v>425736</v>
      </c>
    </row>
    <row r="28" spans="1:20" x14ac:dyDescent="0.35">
      <c r="A28" t="s">
        <v>53</v>
      </c>
      <c r="B28" t="s">
        <v>30</v>
      </c>
      <c r="C28" t="s">
        <v>22</v>
      </c>
      <c r="D28" t="s">
        <v>113</v>
      </c>
      <c r="E28" t="s">
        <v>24</v>
      </c>
      <c r="F28" t="s">
        <v>114</v>
      </c>
      <c r="G28" t="s">
        <v>108</v>
      </c>
      <c r="H28" s="1">
        <v>43850</v>
      </c>
      <c r="I28" t="s">
        <v>35</v>
      </c>
      <c r="J28" t="s">
        <v>36</v>
      </c>
      <c r="K28">
        <v>2020</v>
      </c>
      <c r="L28">
        <v>1320</v>
      </c>
      <c r="M28">
        <v>6</v>
      </c>
      <c r="N28">
        <v>450</v>
      </c>
      <c r="O28">
        <v>594000</v>
      </c>
      <c r="P28">
        <v>29700</v>
      </c>
      <c r="Q28">
        <v>564300</v>
      </c>
      <c r="R28">
        <v>313.5</v>
      </c>
      <c r="S28">
        <v>7920</v>
      </c>
      <c r="T28">
        <v>556380</v>
      </c>
    </row>
    <row r="29" spans="1:20" x14ac:dyDescent="0.35">
      <c r="A29" t="s">
        <v>37</v>
      </c>
      <c r="B29" t="s">
        <v>38</v>
      </c>
      <c r="C29" t="s">
        <v>31</v>
      </c>
      <c r="D29" t="s">
        <v>39</v>
      </c>
      <c r="E29" t="s">
        <v>33</v>
      </c>
      <c r="F29" t="s">
        <v>40</v>
      </c>
      <c r="G29" t="s">
        <v>108</v>
      </c>
      <c r="H29" s="1">
        <v>43839</v>
      </c>
      <c r="I29" t="s">
        <v>35</v>
      </c>
      <c r="J29" t="s">
        <v>36</v>
      </c>
      <c r="K29">
        <v>2020</v>
      </c>
      <c r="L29">
        <v>1474</v>
      </c>
      <c r="M29">
        <v>12</v>
      </c>
      <c r="N29">
        <v>525</v>
      </c>
      <c r="O29">
        <v>773850</v>
      </c>
      <c r="P29">
        <v>38692.5</v>
      </c>
      <c r="Q29">
        <v>735157.5</v>
      </c>
      <c r="R29">
        <v>408.31</v>
      </c>
      <c r="S29">
        <v>17688</v>
      </c>
      <c r="T29">
        <v>717469.5</v>
      </c>
    </row>
    <row r="30" spans="1:20" x14ac:dyDescent="0.35">
      <c r="A30" t="s">
        <v>37</v>
      </c>
      <c r="B30" t="s">
        <v>38</v>
      </c>
      <c r="C30" t="s">
        <v>31</v>
      </c>
      <c r="D30" t="s">
        <v>39</v>
      </c>
      <c r="E30" t="s">
        <v>33</v>
      </c>
      <c r="F30" t="s">
        <v>40</v>
      </c>
      <c r="G30" t="s">
        <v>108</v>
      </c>
      <c r="H30" s="1">
        <v>44181</v>
      </c>
      <c r="I30" t="s">
        <v>64</v>
      </c>
      <c r="J30" t="s">
        <v>61</v>
      </c>
      <c r="K30">
        <v>2020</v>
      </c>
      <c r="L30">
        <v>1667</v>
      </c>
      <c r="M30">
        <v>12</v>
      </c>
      <c r="N30">
        <v>30</v>
      </c>
      <c r="O30">
        <v>50010</v>
      </c>
      <c r="P30">
        <v>2500.5</v>
      </c>
      <c r="Q30">
        <v>47509.5</v>
      </c>
      <c r="R30">
        <v>26.390999999999998</v>
      </c>
      <c r="S30">
        <v>20004</v>
      </c>
      <c r="T30">
        <v>27505.5</v>
      </c>
    </row>
    <row r="31" spans="1:20" x14ac:dyDescent="0.35">
      <c r="A31" t="s">
        <v>20</v>
      </c>
      <c r="B31" t="s">
        <v>54</v>
      </c>
      <c r="C31" t="s">
        <v>31</v>
      </c>
      <c r="D31" t="s">
        <v>115</v>
      </c>
      <c r="E31" t="s">
        <v>33</v>
      </c>
      <c r="F31" t="s">
        <v>116</v>
      </c>
      <c r="G31" t="s">
        <v>108</v>
      </c>
      <c r="H31" s="1">
        <v>44037</v>
      </c>
      <c r="I31" t="s">
        <v>89</v>
      </c>
      <c r="J31" t="s">
        <v>28</v>
      </c>
      <c r="K31">
        <v>2020</v>
      </c>
      <c r="L31">
        <v>845</v>
      </c>
      <c r="M31">
        <v>12</v>
      </c>
      <c r="N31">
        <v>188</v>
      </c>
      <c r="O31">
        <v>158860</v>
      </c>
      <c r="P31">
        <v>7943</v>
      </c>
      <c r="Q31">
        <v>150917</v>
      </c>
      <c r="R31">
        <v>83.6</v>
      </c>
      <c r="S31">
        <v>10140</v>
      </c>
      <c r="T31">
        <v>140777</v>
      </c>
    </row>
    <row r="32" spans="1:20" x14ac:dyDescent="0.35">
      <c r="A32" t="s">
        <v>37</v>
      </c>
      <c r="B32" t="s">
        <v>38</v>
      </c>
      <c r="C32" t="s">
        <v>31</v>
      </c>
      <c r="D32" t="s">
        <v>39</v>
      </c>
      <c r="E32" t="s">
        <v>33</v>
      </c>
      <c r="F32" t="s">
        <v>40</v>
      </c>
      <c r="G32" t="s">
        <v>108</v>
      </c>
      <c r="H32" s="1">
        <v>44104</v>
      </c>
      <c r="I32" t="s">
        <v>27</v>
      </c>
      <c r="J32" t="s">
        <v>28</v>
      </c>
      <c r="K32">
        <v>2020</v>
      </c>
      <c r="L32">
        <v>2162</v>
      </c>
      <c r="M32">
        <v>12</v>
      </c>
      <c r="N32">
        <v>30</v>
      </c>
      <c r="O32">
        <v>64860</v>
      </c>
      <c r="P32">
        <v>3243</v>
      </c>
      <c r="Q32">
        <v>61617</v>
      </c>
      <c r="R32">
        <v>34.238</v>
      </c>
      <c r="S32">
        <v>25944</v>
      </c>
      <c r="T32">
        <v>35673</v>
      </c>
    </row>
    <row r="33" spans="1:20" x14ac:dyDescent="0.35">
      <c r="A33" t="s">
        <v>37</v>
      </c>
      <c r="B33" t="s">
        <v>38</v>
      </c>
      <c r="C33" t="s">
        <v>31</v>
      </c>
      <c r="D33" t="s">
        <v>117</v>
      </c>
      <c r="E33" t="s">
        <v>33</v>
      </c>
      <c r="F33" t="s">
        <v>118</v>
      </c>
      <c r="G33" t="s">
        <v>108</v>
      </c>
      <c r="H33" s="1">
        <v>44034</v>
      </c>
      <c r="I33" t="s">
        <v>89</v>
      </c>
      <c r="J33" t="s">
        <v>28</v>
      </c>
      <c r="K33">
        <v>2020</v>
      </c>
      <c r="L33">
        <v>2563</v>
      </c>
      <c r="M33">
        <v>12</v>
      </c>
      <c r="N33">
        <v>11</v>
      </c>
      <c r="O33">
        <v>28193</v>
      </c>
      <c r="P33">
        <v>1409.65</v>
      </c>
      <c r="Q33">
        <v>26783.35</v>
      </c>
      <c r="R33">
        <v>14.2044</v>
      </c>
      <c r="S33">
        <v>30756</v>
      </c>
      <c r="T33">
        <v>-3972.6500000000015</v>
      </c>
    </row>
    <row r="34" spans="1:20" x14ac:dyDescent="0.35">
      <c r="A34" t="s">
        <v>20</v>
      </c>
      <c r="B34" t="s">
        <v>65</v>
      </c>
      <c r="C34" t="s">
        <v>43</v>
      </c>
      <c r="D34" t="s">
        <v>119</v>
      </c>
      <c r="E34" t="s">
        <v>45</v>
      </c>
      <c r="F34" t="s">
        <v>120</v>
      </c>
      <c r="G34" t="s">
        <v>108</v>
      </c>
      <c r="H34" s="1">
        <v>43946</v>
      </c>
      <c r="I34" t="s">
        <v>112</v>
      </c>
      <c r="J34" t="s">
        <v>78</v>
      </c>
      <c r="K34">
        <v>2020</v>
      </c>
      <c r="L34">
        <v>845</v>
      </c>
      <c r="M34">
        <v>148</v>
      </c>
      <c r="N34">
        <v>188</v>
      </c>
      <c r="O34">
        <v>158860</v>
      </c>
      <c r="P34">
        <v>7943</v>
      </c>
      <c r="Q34">
        <v>150917</v>
      </c>
      <c r="R34">
        <v>83.6</v>
      </c>
      <c r="S34">
        <v>125060</v>
      </c>
      <c r="T34">
        <v>25857</v>
      </c>
    </row>
    <row r="35" spans="1:20" x14ac:dyDescent="0.35">
      <c r="A35" t="s">
        <v>37</v>
      </c>
      <c r="B35" t="s">
        <v>42</v>
      </c>
      <c r="C35" t="s">
        <v>48</v>
      </c>
      <c r="D35" t="s">
        <v>121</v>
      </c>
      <c r="E35" t="s">
        <v>50</v>
      </c>
      <c r="F35" t="s">
        <v>122</v>
      </c>
      <c r="G35" t="s">
        <v>108</v>
      </c>
      <c r="H35" s="1">
        <v>44081</v>
      </c>
      <c r="I35" t="s">
        <v>27</v>
      </c>
      <c r="J35" t="s">
        <v>28</v>
      </c>
      <c r="K35">
        <v>2020</v>
      </c>
      <c r="L35">
        <v>1667</v>
      </c>
      <c r="M35">
        <v>308</v>
      </c>
      <c r="N35">
        <v>30</v>
      </c>
      <c r="O35">
        <v>50010</v>
      </c>
      <c r="P35">
        <v>2500.5</v>
      </c>
      <c r="Q35">
        <v>47509.5</v>
      </c>
      <c r="R35">
        <v>26.390999999999998</v>
      </c>
      <c r="S35">
        <v>513436</v>
      </c>
      <c r="T35">
        <v>-465926.5</v>
      </c>
    </row>
    <row r="36" spans="1:20" x14ac:dyDescent="0.35">
      <c r="A36" t="s">
        <v>37</v>
      </c>
      <c r="B36" t="s">
        <v>21</v>
      </c>
      <c r="C36" t="s">
        <v>48</v>
      </c>
      <c r="D36" t="s">
        <v>98</v>
      </c>
      <c r="E36" t="s">
        <v>50</v>
      </c>
      <c r="F36" t="s">
        <v>99</v>
      </c>
      <c r="G36" t="s">
        <v>108</v>
      </c>
      <c r="H36" s="1">
        <v>44015</v>
      </c>
      <c r="I36" t="s">
        <v>89</v>
      </c>
      <c r="J36" t="s">
        <v>28</v>
      </c>
      <c r="K36">
        <v>2020</v>
      </c>
      <c r="L36">
        <v>1518</v>
      </c>
      <c r="M36">
        <v>308</v>
      </c>
      <c r="N36">
        <v>30</v>
      </c>
      <c r="O36">
        <v>45540</v>
      </c>
      <c r="P36">
        <v>2277</v>
      </c>
      <c r="Q36">
        <v>43263</v>
      </c>
      <c r="R36">
        <v>24.035</v>
      </c>
      <c r="S36">
        <v>467544</v>
      </c>
      <c r="T36">
        <v>-424281</v>
      </c>
    </row>
    <row r="37" spans="1:20" x14ac:dyDescent="0.35">
      <c r="A37" t="s">
        <v>37</v>
      </c>
      <c r="B37" t="s">
        <v>47</v>
      </c>
      <c r="C37" t="s">
        <v>48</v>
      </c>
      <c r="D37" t="s">
        <v>123</v>
      </c>
      <c r="E37" t="s">
        <v>50</v>
      </c>
      <c r="F37" t="s">
        <v>124</v>
      </c>
      <c r="G37" t="s">
        <v>108</v>
      </c>
      <c r="H37" s="1">
        <v>44043</v>
      </c>
      <c r="I37" t="s">
        <v>89</v>
      </c>
      <c r="J37" t="s">
        <v>28</v>
      </c>
      <c r="K37">
        <v>2020</v>
      </c>
      <c r="L37">
        <v>2756</v>
      </c>
      <c r="M37">
        <v>308</v>
      </c>
      <c r="N37">
        <v>30</v>
      </c>
      <c r="O37">
        <v>82680</v>
      </c>
      <c r="P37">
        <v>4134</v>
      </c>
      <c r="Q37">
        <v>78546</v>
      </c>
      <c r="R37">
        <v>43.643000000000001</v>
      </c>
      <c r="S37">
        <v>848848</v>
      </c>
      <c r="T37">
        <v>-770302</v>
      </c>
    </row>
    <row r="38" spans="1:20" x14ac:dyDescent="0.35">
      <c r="A38" t="s">
        <v>37</v>
      </c>
      <c r="B38" t="s">
        <v>21</v>
      </c>
      <c r="C38" t="s">
        <v>55</v>
      </c>
      <c r="D38" t="s">
        <v>125</v>
      </c>
      <c r="E38" t="s">
        <v>57</v>
      </c>
      <c r="F38" t="s">
        <v>126</v>
      </c>
      <c r="G38" t="s">
        <v>108</v>
      </c>
      <c r="H38" s="1">
        <v>43936</v>
      </c>
      <c r="I38" t="s">
        <v>112</v>
      </c>
      <c r="J38" t="s">
        <v>78</v>
      </c>
      <c r="K38">
        <v>2020</v>
      </c>
      <c r="L38">
        <v>316</v>
      </c>
      <c r="M38">
        <v>4</v>
      </c>
      <c r="N38">
        <v>11</v>
      </c>
      <c r="O38">
        <v>3476</v>
      </c>
      <c r="P38">
        <v>208.56</v>
      </c>
      <c r="Q38">
        <v>3267.44</v>
      </c>
      <c r="R38">
        <v>1.73054</v>
      </c>
      <c r="S38">
        <v>1264</v>
      </c>
      <c r="T38">
        <v>2003.44</v>
      </c>
    </row>
    <row r="39" spans="1:20" x14ac:dyDescent="0.35">
      <c r="A39" t="s">
        <v>79</v>
      </c>
      <c r="B39" t="s">
        <v>38</v>
      </c>
      <c r="C39" t="s">
        <v>31</v>
      </c>
      <c r="D39" t="s">
        <v>127</v>
      </c>
      <c r="E39" t="s">
        <v>33</v>
      </c>
      <c r="F39" t="s">
        <v>128</v>
      </c>
      <c r="G39" t="s">
        <v>108</v>
      </c>
      <c r="H39" s="1">
        <v>43946</v>
      </c>
      <c r="I39" t="s">
        <v>112</v>
      </c>
      <c r="J39" t="s">
        <v>78</v>
      </c>
      <c r="K39">
        <v>2020</v>
      </c>
      <c r="L39">
        <v>2759</v>
      </c>
      <c r="M39">
        <v>12</v>
      </c>
      <c r="N39">
        <v>18</v>
      </c>
      <c r="O39">
        <v>49662</v>
      </c>
      <c r="P39">
        <v>2979.72</v>
      </c>
      <c r="Q39">
        <v>46682.28</v>
      </c>
      <c r="R39">
        <v>25.93272</v>
      </c>
      <c r="S39">
        <v>33108</v>
      </c>
      <c r="T39">
        <v>13574.279999999999</v>
      </c>
    </row>
    <row r="40" spans="1:20" x14ac:dyDescent="0.35">
      <c r="A40" t="s">
        <v>53</v>
      </c>
      <c r="B40" t="s">
        <v>65</v>
      </c>
      <c r="C40" t="s">
        <v>43</v>
      </c>
      <c r="D40" t="s">
        <v>129</v>
      </c>
      <c r="E40" t="s">
        <v>45</v>
      </c>
      <c r="F40" t="s">
        <v>130</v>
      </c>
      <c r="G40" t="s">
        <v>108</v>
      </c>
      <c r="H40" s="1">
        <v>43976</v>
      </c>
      <c r="I40" t="s">
        <v>77</v>
      </c>
      <c r="J40" t="s">
        <v>78</v>
      </c>
      <c r="K40">
        <v>2020</v>
      </c>
      <c r="L40">
        <v>1465</v>
      </c>
      <c r="M40">
        <v>148</v>
      </c>
      <c r="N40">
        <v>450</v>
      </c>
      <c r="O40">
        <v>659250</v>
      </c>
      <c r="P40">
        <v>39555</v>
      </c>
      <c r="Q40">
        <v>619695</v>
      </c>
      <c r="R40">
        <v>344.322</v>
      </c>
      <c r="S40">
        <v>216820</v>
      </c>
      <c r="T40">
        <v>402875</v>
      </c>
    </row>
    <row r="41" spans="1:20" x14ac:dyDescent="0.35">
      <c r="A41" t="s">
        <v>37</v>
      </c>
      <c r="B41" t="s">
        <v>84</v>
      </c>
      <c r="C41" t="s">
        <v>43</v>
      </c>
      <c r="D41" t="s">
        <v>131</v>
      </c>
      <c r="E41" t="s">
        <v>45</v>
      </c>
      <c r="F41" t="s">
        <v>132</v>
      </c>
      <c r="G41" t="s">
        <v>108</v>
      </c>
      <c r="H41" s="1">
        <v>44098</v>
      </c>
      <c r="I41" t="s">
        <v>27</v>
      </c>
      <c r="J41" t="s">
        <v>28</v>
      </c>
      <c r="K41">
        <v>2020</v>
      </c>
      <c r="L41">
        <v>2491</v>
      </c>
      <c r="M41">
        <v>148</v>
      </c>
      <c r="N41">
        <v>525</v>
      </c>
      <c r="O41">
        <v>1307775</v>
      </c>
      <c r="P41">
        <v>78466.5</v>
      </c>
      <c r="Q41">
        <v>1229308.5</v>
      </c>
      <c r="R41">
        <v>683.00400000000002</v>
      </c>
      <c r="S41">
        <v>368668</v>
      </c>
      <c r="T41">
        <v>860640.5</v>
      </c>
    </row>
    <row r="42" spans="1:20" x14ac:dyDescent="0.35">
      <c r="A42" t="s">
        <v>53</v>
      </c>
      <c r="B42" t="s">
        <v>84</v>
      </c>
      <c r="C42" t="s">
        <v>48</v>
      </c>
      <c r="D42" t="s">
        <v>133</v>
      </c>
      <c r="E42" t="s">
        <v>50</v>
      </c>
      <c r="F42" t="s">
        <v>134</v>
      </c>
      <c r="G42" t="s">
        <v>108</v>
      </c>
      <c r="H42" s="1">
        <v>44063</v>
      </c>
      <c r="I42" t="s">
        <v>41</v>
      </c>
      <c r="J42" t="s">
        <v>28</v>
      </c>
      <c r="K42">
        <v>2020</v>
      </c>
      <c r="L42">
        <v>1465</v>
      </c>
      <c r="M42">
        <v>308</v>
      </c>
      <c r="N42">
        <v>450</v>
      </c>
      <c r="O42">
        <v>659250</v>
      </c>
      <c r="P42">
        <v>39555</v>
      </c>
      <c r="Q42">
        <v>619695</v>
      </c>
      <c r="R42">
        <v>344.322</v>
      </c>
      <c r="S42">
        <v>451220</v>
      </c>
      <c r="T42">
        <v>168475</v>
      </c>
    </row>
    <row r="43" spans="1:20" x14ac:dyDescent="0.35">
      <c r="A43" t="s">
        <v>53</v>
      </c>
      <c r="B43" t="s">
        <v>42</v>
      </c>
      <c r="C43" t="s">
        <v>48</v>
      </c>
      <c r="D43" t="s">
        <v>135</v>
      </c>
      <c r="E43" t="s">
        <v>50</v>
      </c>
      <c r="F43" t="s">
        <v>136</v>
      </c>
      <c r="G43" t="s">
        <v>108</v>
      </c>
      <c r="H43" s="1">
        <v>43895</v>
      </c>
      <c r="I43" t="s">
        <v>109</v>
      </c>
      <c r="J43" t="s">
        <v>36</v>
      </c>
      <c r="K43">
        <v>2020</v>
      </c>
      <c r="L43">
        <v>2923</v>
      </c>
      <c r="M43">
        <v>308</v>
      </c>
      <c r="N43">
        <v>450</v>
      </c>
      <c r="O43">
        <v>1315350</v>
      </c>
      <c r="P43">
        <v>78921</v>
      </c>
      <c r="Q43">
        <v>1236429</v>
      </c>
      <c r="R43">
        <v>686.952</v>
      </c>
      <c r="S43">
        <v>900284</v>
      </c>
      <c r="T43">
        <v>336145</v>
      </c>
    </row>
    <row r="44" spans="1:20" x14ac:dyDescent="0.35">
      <c r="A44" t="s">
        <v>37</v>
      </c>
      <c r="B44" t="s">
        <v>21</v>
      </c>
      <c r="C44" t="s">
        <v>102</v>
      </c>
      <c r="D44" t="s">
        <v>137</v>
      </c>
      <c r="E44" t="s">
        <v>104</v>
      </c>
      <c r="F44" t="s">
        <v>138</v>
      </c>
      <c r="G44" t="s">
        <v>108</v>
      </c>
      <c r="H44" s="1">
        <v>44082</v>
      </c>
      <c r="I44" t="s">
        <v>27</v>
      </c>
      <c r="J44" t="s">
        <v>28</v>
      </c>
      <c r="K44">
        <v>2020</v>
      </c>
      <c r="L44">
        <v>1684</v>
      </c>
      <c r="M44">
        <v>320</v>
      </c>
      <c r="N44">
        <v>11</v>
      </c>
      <c r="O44">
        <v>18524</v>
      </c>
      <c r="P44">
        <v>1111.44</v>
      </c>
      <c r="Q44">
        <v>17412.560000000001</v>
      </c>
      <c r="R44">
        <v>9.2317400000000003</v>
      </c>
      <c r="S44">
        <v>538880</v>
      </c>
      <c r="T44">
        <v>-521467.44</v>
      </c>
    </row>
    <row r="45" spans="1:20" x14ac:dyDescent="0.35">
      <c r="A45" t="s">
        <v>79</v>
      </c>
      <c r="B45" t="s">
        <v>54</v>
      </c>
      <c r="C45" t="s">
        <v>48</v>
      </c>
      <c r="D45" t="s">
        <v>139</v>
      </c>
      <c r="E45" t="s">
        <v>50</v>
      </c>
      <c r="F45" t="s">
        <v>140</v>
      </c>
      <c r="G45" t="s">
        <v>108</v>
      </c>
      <c r="H45" s="1">
        <v>43832</v>
      </c>
      <c r="I45" t="s">
        <v>35</v>
      </c>
      <c r="J45" t="s">
        <v>36</v>
      </c>
      <c r="K45">
        <v>2020</v>
      </c>
      <c r="L45">
        <v>2658</v>
      </c>
      <c r="M45">
        <v>308</v>
      </c>
      <c r="N45">
        <v>18</v>
      </c>
      <c r="O45">
        <v>47844</v>
      </c>
      <c r="P45">
        <v>3349.0799999999995</v>
      </c>
      <c r="Q45">
        <v>44494.92</v>
      </c>
      <c r="R45">
        <v>24.7194</v>
      </c>
      <c r="S45">
        <v>818664</v>
      </c>
      <c r="T45">
        <v>-774169.08</v>
      </c>
    </row>
    <row r="46" spans="1:20" x14ac:dyDescent="0.35">
      <c r="A46" t="s">
        <v>20</v>
      </c>
      <c r="B46" t="s">
        <v>38</v>
      </c>
      <c r="C46" t="s">
        <v>22</v>
      </c>
      <c r="D46" t="s">
        <v>141</v>
      </c>
      <c r="E46" t="s">
        <v>24</v>
      </c>
      <c r="F46" t="s">
        <v>142</v>
      </c>
      <c r="G46" t="s">
        <v>108</v>
      </c>
      <c r="H46" s="1">
        <v>43903</v>
      </c>
      <c r="I46" t="s">
        <v>109</v>
      </c>
      <c r="J46" t="s">
        <v>36</v>
      </c>
      <c r="K46">
        <v>2020</v>
      </c>
      <c r="L46">
        <v>3000</v>
      </c>
      <c r="M46">
        <v>6</v>
      </c>
      <c r="N46">
        <v>188</v>
      </c>
      <c r="O46">
        <v>564000</v>
      </c>
      <c r="P46">
        <v>39480.000000000007</v>
      </c>
      <c r="Q46">
        <v>524520</v>
      </c>
      <c r="R46">
        <v>290.625</v>
      </c>
      <c r="S46">
        <v>18000</v>
      </c>
      <c r="T46">
        <v>506520</v>
      </c>
    </row>
    <row r="47" spans="1:20" x14ac:dyDescent="0.35">
      <c r="A47" t="s">
        <v>29</v>
      </c>
      <c r="B47" t="s">
        <v>30</v>
      </c>
      <c r="C47" t="s">
        <v>31</v>
      </c>
      <c r="D47" t="s">
        <v>82</v>
      </c>
      <c r="E47" t="s">
        <v>33</v>
      </c>
      <c r="F47" t="s">
        <v>83</v>
      </c>
      <c r="G47" t="s">
        <v>108</v>
      </c>
      <c r="H47" s="1">
        <v>44086</v>
      </c>
      <c r="I47" t="s">
        <v>27</v>
      </c>
      <c r="J47" t="s">
        <v>28</v>
      </c>
      <c r="K47">
        <v>2020</v>
      </c>
      <c r="L47">
        <v>3517</v>
      </c>
      <c r="M47">
        <v>12</v>
      </c>
      <c r="N47">
        <v>23</v>
      </c>
      <c r="O47">
        <v>80891</v>
      </c>
      <c r="P47">
        <v>5662.3700000000008</v>
      </c>
      <c r="Q47">
        <v>75228.63</v>
      </c>
      <c r="R47">
        <v>40.887449999999994</v>
      </c>
      <c r="S47">
        <v>42204</v>
      </c>
      <c r="T47">
        <v>33024.630000000005</v>
      </c>
    </row>
    <row r="48" spans="1:20" x14ac:dyDescent="0.35">
      <c r="A48" t="s">
        <v>53</v>
      </c>
      <c r="B48" t="s">
        <v>65</v>
      </c>
      <c r="C48" t="s">
        <v>31</v>
      </c>
      <c r="D48" t="s">
        <v>143</v>
      </c>
      <c r="E48" t="s">
        <v>33</v>
      </c>
      <c r="F48" t="s">
        <v>126</v>
      </c>
      <c r="G48" t="s">
        <v>108</v>
      </c>
      <c r="H48" s="1">
        <v>43998</v>
      </c>
      <c r="I48" t="s">
        <v>144</v>
      </c>
      <c r="J48" t="s">
        <v>78</v>
      </c>
      <c r="K48">
        <v>2020</v>
      </c>
      <c r="L48">
        <v>1348</v>
      </c>
      <c r="M48">
        <v>12</v>
      </c>
      <c r="N48">
        <v>450</v>
      </c>
      <c r="O48">
        <v>606600</v>
      </c>
      <c r="P48">
        <v>42462.000000000007</v>
      </c>
      <c r="Q48">
        <v>564138</v>
      </c>
      <c r="R48">
        <v>313.31700000000001</v>
      </c>
      <c r="S48">
        <v>16176</v>
      </c>
      <c r="T48">
        <v>547962</v>
      </c>
    </row>
    <row r="49" spans="1:20" x14ac:dyDescent="0.35">
      <c r="A49" t="s">
        <v>79</v>
      </c>
      <c r="B49" t="s">
        <v>42</v>
      </c>
      <c r="C49" t="s">
        <v>31</v>
      </c>
      <c r="D49" t="s">
        <v>145</v>
      </c>
      <c r="E49" t="s">
        <v>33</v>
      </c>
      <c r="F49" t="s">
        <v>146</v>
      </c>
      <c r="G49" t="s">
        <v>108</v>
      </c>
      <c r="H49" s="1">
        <v>43928</v>
      </c>
      <c r="I49" t="s">
        <v>112</v>
      </c>
      <c r="J49" t="s">
        <v>78</v>
      </c>
      <c r="K49">
        <v>2020</v>
      </c>
      <c r="L49">
        <v>3316</v>
      </c>
      <c r="M49">
        <v>12</v>
      </c>
      <c r="N49">
        <v>18</v>
      </c>
      <c r="O49">
        <v>59688</v>
      </c>
      <c r="P49">
        <v>4178.1600000000008</v>
      </c>
      <c r="Q49">
        <v>55509.84</v>
      </c>
      <c r="R49">
        <v>30.835080000000001</v>
      </c>
      <c r="S49">
        <v>39792</v>
      </c>
      <c r="T49">
        <v>15717.839999999997</v>
      </c>
    </row>
    <row r="50" spans="1:20" x14ac:dyDescent="0.35">
      <c r="A50" t="s">
        <v>53</v>
      </c>
      <c r="B50" t="s">
        <v>30</v>
      </c>
      <c r="C50" t="s">
        <v>22</v>
      </c>
      <c r="D50" t="s">
        <v>147</v>
      </c>
      <c r="E50" t="s">
        <v>24</v>
      </c>
      <c r="F50" t="s">
        <v>148</v>
      </c>
      <c r="G50" t="s">
        <v>108</v>
      </c>
      <c r="H50" s="1">
        <v>44056</v>
      </c>
      <c r="I50" t="s">
        <v>41</v>
      </c>
      <c r="J50" t="s">
        <v>28</v>
      </c>
      <c r="K50">
        <v>2020</v>
      </c>
      <c r="L50">
        <v>1540</v>
      </c>
      <c r="M50">
        <v>6</v>
      </c>
      <c r="N50">
        <v>450</v>
      </c>
      <c r="O50">
        <v>693000</v>
      </c>
      <c r="P50">
        <v>55440</v>
      </c>
      <c r="Q50">
        <v>637560</v>
      </c>
      <c r="R50">
        <v>354.108</v>
      </c>
      <c r="S50">
        <v>9240</v>
      </c>
      <c r="T50">
        <v>628320</v>
      </c>
    </row>
    <row r="51" spans="1:20" x14ac:dyDescent="0.35">
      <c r="A51" t="s">
        <v>37</v>
      </c>
      <c r="B51" t="s">
        <v>47</v>
      </c>
      <c r="C51" t="s">
        <v>31</v>
      </c>
      <c r="D51" t="s">
        <v>149</v>
      </c>
      <c r="E51" t="s">
        <v>33</v>
      </c>
      <c r="F51" t="s">
        <v>150</v>
      </c>
      <c r="G51" t="s">
        <v>108</v>
      </c>
      <c r="H51" s="1">
        <v>44125</v>
      </c>
      <c r="I51" t="s">
        <v>72</v>
      </c>
      <c r="J51" t="s">
        <v>61</v>
      </c>
      <c r="K51">
        <v>2020</v>
      </c>
      <c r="L51">
        <v>2575</v>
      </c>
      <c r="M51">
        <v>12</v>
      </c>
      <c r="N51">
        <v>525</v>
      </c>
      <c r="O51">
        <v>1351875</v>
      </c>
      <c r="P51">
        <v>108150</v>
      </c>
      <c r="Q51">
        <v>1243725</v>
      </c>
      <c r="R51">
        <v>691.01199999999994</v>
      </c>
      <c r="S51">
        <v>30900</v>
      </c>
      <c r="T51">
        <v>1212825</v>
      </c>
    </row>
    <row r="52" spans="1:20" x14ac:dyDescent="0.35">
      <c r="A52" t="s">
        <v>37</v>
      </c>
      <c r="B52" t="s">
        <v>47</v>
      </c>
      <c r="C52" t="s">
        <v>31</v>
      </c>
      <c r="D52" t="s">
        <v>94</v>
      </c>
      <c r="E52" t="s">
        <v>33</v>
      </c>
      <c r="F52" t="s">
        <v>95</v>
      </c>
      <c r="G52" t="s">
        <v>108</v>
      </c>
      <c r="H52" s="1">
        <v>43877</v>
      </c>
      <c r="I52" t="s">
        <v>52</v>
      </c>
      <c r="J52" t="s">
        <v>36</v>
      </c>
      <c r="K52">
        <v>2020</v>
      </c>
      <c r="L52">
        <v>2335</v>
      </c>
      <c r="M52">
        <v>12</v>
      </c>
      <c r="N52">
        <v>11</v>
      </c>
      <c r="O52">
        <v>25685</v>
      </c>
      <c r="P52">
        <v>2054.8000000000002</v>
      </c>
      <c r="Q52">
        <v>23630.2</v>
      </c>
      <c r="R52">
        <v>12.53224</v>
      </c>
      <c r="S52">
        <v>28020</v>
      </c>
      <c r="T52">
        <v>-4389.7999999999993</v>
      </c>
    </row>
    <row r="53" spans="1:20" x14ac:dyDescent="0.35">
      <c r="A53" t="s">
        <v>53</v>
      </c>
      <c r="B53" t="s">
        <v>84</v>
      </c>
      <c r="C53" t="s">
        <v>22</v>
      </c>
      <c r="D53" t="s">
        <v>151</v>
      </c>
      <c r="E53" t="s">
        <v>24</v>
      </c>
      <c r="F53" t="s">
        <v>152</v>
      </c>
      <c r="G53" t="s">
        <v>108</v>
      </c>
      <c r="H53" s="1">
        <v>43996</v>
      </c>
      <c r="I53" t="s">
        <v>144</v>
      </c>
      <c r="J53" t="s">
        <v>78</v>
      </c>
      <c r="K53">
        <v>2020</v>
      </c>
      <c r="L53">
        <v>386</v>
      </c>
      <c r="M53">
        <v>6</v>
      </c>
      <c r="N53">
        <v>450</v>
      </c>
      <c r="O53">
        <v>173700</v>
      </c>
      <c r="P53">
        <v>15633</v>
      </c>
      <c r="Q53">
        <v>158067</v>
      </c>
      <c r="R53">
        <v>87.906000000000006</v>
      </c>
      <c r="S53">
        <v>2316</v>
      </c>
      <c r="T53">
        <v>155751</v>
      </c>
    </row>
    <row r="54" spans="1:20" x14ac:dyDescent="0.35">
      <c r="A54" t="s">
        <v>79</v>
      </c>
      <c r="B54" t="s">
        <v>21</v>
      </c>
      <c r="C54" t="s">
        <v>48</v>
      </c>
      <c r="D54" t="s">
        <v>153</v>
      </c>
      <c r="E54" t="s">
        <v>50</v>
      </c>
      <c r="F54" t="s">
        <v>154</v>
      </c>
      <c r="G54" t="s">
        <v>108</v>
      </c>
      <c r="H54" s="1">
        <v>44023</v>
      </c>
      <c r="I54" t="s">
        <v>89</v>
      </c>
      <c r="J54" t="s">
        <v>28</v>
      </c>
      <c r="K54">
        <v>2020</v>
      </c>
      <c r="L54">
        <v>2681</v>
      </c>
      <c r="M54">
        <v>308</v>
      </c>
      <c r="N54">
        <v>18</v>
      </c>
      <c r="O54">
        <v>48258</v>
      </c>
      <c r="P54">
        <v>4343.22</v>
      </c>
      <c r="Q54">
        <v>43914.78</v>
      </c>
      <c r="R54">
        <v>24.39528</v>
      </c>
      <c r="S54">
        <v>825748</v>
      </c>
      <c r="T54">
        <v>-781833.22</v>
      </c>
    </row>
    <row r="55" spans="1:20" x14ac:dyDescent="0.35">
      <c r="A55" t="s">
        <v>79</v>
      </c>
      <c r="B55" t="s">
        <v>54</v>
      </c>
      <c r="C55" t="s">
        <v>102</v>
      </c>
      <c r="D55" t="s">
        <v>155</v>
      </c>
      <c r="E55" t="s">
        <v>104</v>
      </c>
      <c r="F55" t="s">
        <v>156</v>
      </c>
      <c r="G55" t="s">
        <v>108</v>
      </c>
      <c r="H55" s="1">
        <v>44147</v>
      </c>
      <c r="I55" t="s">
        <v>60</v>
      </c>
      <c r="J55" t="s">
        <v>61</v>
      </c>
      <c r="K55">
        <v>2020</v>
      </c>
      <c r="L55">
        <v>367</v>
      </c>
      <c r="M55">
        <v>320</v>
      </c>
      <c r="N55">
        <v>18</v>
      </c>
      <c r="O55">
        <v>6606</v>
      </c>
      <c r="P55">
        <v>594.54000000000008</v>
      </c>
      <c r="Q55">
        <v>6011.46</v>
      </c>
      <c r="R55">
        <v>3.34152</v>
      </c>
      <c r="S55">
        <v>117440</v>
      </c>
      <c r="T55">
        <v>-111428.54</v>
      </c>
    </row>
    <row r="56" spans="1:20" x14ac:dyDescent="0.35">
      <c r="A56" t="s">
        <v>29</v>
      </c>
      <c r="B56" t="s">
        <v>30</v>
      </c>
      <c r="C56" t="s">
        <v>31</v>
      </c>
      <c r="D56" t="s">
        <v>32</v>
      </c>
      <c r="E56" t="s">
        <v>33</v>
      </c>
      <c r="F56" t="s">
        <v>34</v>
      </c>
      <c r="G56" t="s">
        <v>157</v>
      </c>
      <c r="H56" s="1">
        <v>44099</v>
      </c>
      <c r="I56" t="s">
        <v>27</v>
      </c>
      <c r="J56" t="s">
        <v>28</v>
      </c>
      <c r="K56">
        <v>2020</v>
      </c>
      <c r="L56">
        <v>2600</v>
      </c>
      <c r="M56">
        <v>12</v>
      </c>
      <c r="N56">
        <v>23</v>
      </c>
      <c r="O56">
        <v>59800</v>
      </c>
      <c r="P56">
        <v>5980</v>
      </c>
      <c r="Q56">
        <v>53820</v>
      </c>
      <c r="R56">
        <v>29.2545</v>
      </c>
      <c r="S56">
        <v>31200</v>
      </c>
      <c r="T56">
        <v>22620</v>
      </c>
    </row>
    <row r="57" spans="1:20" x14ac:dyDescent="0.35">
      <c r="A57" t="s">
        <v>20</v>
      </c>
      <c r="B57" t="s">
        <v>42</v>
      </c>
      <c r="C57" t="s">
        <v>43</v>
      </c>
      <c r="D57" t="s">
        <v>44</v>
      </c>
      <c r="E57" t="s">
        <v>45</v>
      </c>
      <c r="F57" t="s">
        <v>46</v>
      </c>
      <c r="G57" t="s">
        <v>157</v>
      </c>
      <c r="H57" s="1">
        <v>43869</v>
      </c>
      <c r="I57" t="s">
        <v>52</v>
      </c>
      <c r="J57" t="s">
        <v>36</v>
      </c>
      <c r="K57">
        <v>2020</v>
      </c>
      <c r="L57">
        <v>2299</v>
      </c>
      <c r="M57">
        <v>148</v>
      </c>
      <c r="N57">
        <v>188</v>
      </c>
      <c r="O57">
        <v>432212</v>
      </c>
      <c r="P57">
        <v>43221.200000000004</v>
      </c>
      <c r="Q57">
        <v>388990.8</v>
      </c>
      <c r="R57">
        <v>215.55</v>
      </c>
      <c r="S57">
        <v>340252</v>
      </c>
      <c r="T57">
        <v>48738.799999999988</v>
      </c>
    </row>
    <row r="58" spans="1:20" x14ac:dyDescent="0.35">
      <c r="A58" t="s">
        <v>79</v>
      </c>
      <c r="B58" t="s">
        <v>21</v>
      </c>
      <c r="C58" t="s">
        <v>48</v>
      </c>
      <c r="D58" t="s">
        <v>158</v>
      </c>
      <c r="E58" t="s">
        <v>50</v>
      </c>
      <c r="F58" t="s">
        <v>159</v>
      </c>
      <c r="G58" t="s">
        <v>157</v>
      </c>
      <c r="H58" s="1">
        <v>44004</v>
      </c>
      <c r="I58" t="s">
        <v>144</v>
      </c>
      <c r="J58" t="s">
        <v>78</v>
      </c>
      <c r="K58">
        <v>2020</v>
      </c>
      <c r="L58">
        <v>1206</v>
      </c>
      <c r="M58">
        <v>308</v>
      </c>
      <c r="N58">
        <v>18</v>
      </c>
      <c r="O58">
        <v>21708</v>
      </c>
      <c r="P58">
        <v>2387.8799999999997</v>
      </c>
      <c r="Q58">
        <v>19320.12</v>
      </c>
      <c r="R58">
        <v>10.7334</v>
      </c>
      <c r="S58">
        <v>371448</v>
      </c>
      <c r="T58">
        <v>-352127.88</v>
      </c>
    </row>
    <row r="59" spans="1:20" x14ac:dyDescent="0.35">
      <c r="A59" t="s">
        <v>29</v>
      </c>
      <c r="B59" t="s">
        <v>30</v>
      </c>
      <c r="C59" t="s">
        <v>55</v>
      </c>
      <c r="D59" t="s">
        <v>160</v>
      </c>
      <c r="E59" t="s">
        <v>57</v>
      </c>
      <c r="F59" t="s">
        <v>161</v>
      </c>
      <c r="G59" t="s">
        <v>157</v>
      </c>
      <c r="H59" s="1">
        <v>43853</v>
      </c>
      <c r="I59" t="s">
        <v>35</v>
      </c>
      <c r="J59" t="s">
        <v>36</v>
      </c>
      <c r="K59">
        <v>2020</v>
      </c>
      <c r="L59">
        <v>1872</v>
      </c>
      <c r="M59">
        <v>4</v>
      </c>
      <c r="N59">
        <v>23</v>
      </c>
      <c r="O59">
        <v>43056</v>
      </c>
      <c r="P59">
        <v>4736.16</v>
      </c>
      <c r="Q59">
        <v>38319.839999999997</v>
      </c>
      <c r="R59">
        <v>20.826000000000001</v>
      </c>
      <c r="S59">
        <v>7488</v>
      </c>
      <c r="T59">
        <v>30831.839999999997</v>
      </c>
    </row>
    <row r="60" spans="1:20" x14ac:dyDescent="0.35">
      <c r="A60" t="s">
        <v>37</v>
      </c>
      <c r="B60" t="s">
        <v>84</v>
      </c>
      <c r="C60" t="s">
        <v>43</v>
      </c>
      <c r="D60" t="s">
        <v>131</v>
      </c>
      <c r="E60" t="s">
        <v>45</v>
      </c>
      <c r="F60" t="s">
        <v>132</v>
      </c>
      <c r="G60" t="s">
        <v>157</v>
      </c>
      <c r="H60" s="1">
        <v>44113</v>
      </c>
      <c r="I60" t="s">
        <v>72</v>
      </c>
      <c r="J60" t="s">
        <v>61</v>
      </c>
      <c r="K60">
        <v>2020</v>
      </c>
      <c r="L60">
        <v>3366</v>
      </c>
      <c r="M60">
        <v>148</v>
      </c>
      <c r="N60">
        <v>30</v>
      </c>
      <c r="O60">
        <v>100980</v>
      </c>
      <c r="P60">
        <v>11107.8</v>
      </c>
      <c r="Q60">
        <v>89872.2</v>
      </c>
      <c r="R60">
        <v>49.929000000000002</v>
      </c>
      <c r="S60">
        <v>498168</v>
      </c>
      <c r="T60">
        <v>-408295.8</v>
      </c>
    </row>
    <row r="61" spans="1:20" x14ac:dyDescent="0.35">
      <c r="A61" t="s">
        <v>29</v>
      </c>
      <c r="B61" t="s">
        <v>54</v>
      </c>
      <c r="C61" t="s">
        <v>43</v>
      </c>
      <c r="D61" t="s">
        <v>162</v>
      </c>
      <c r="E61" t="s">
        <v>45</v>
      </c>
      <c r="F61" t="s">
        <v>163</v>
      </c>
      <c r="G61" t="s">
        <v>157</v>
      </c>
      <c r="H61" s="1">
        <v>44135</v>
      </c>
      <c r="I61" t="s">
        <v>72</v>
      </c>
      <c r="J61" t="s">
        <v>61</v>
      </c>
      <c r="K61">
        <v>2020</v>
      </c>
      <c r="L61">
        <v>786</v>
      </c>
      <c r="M61">
        <v>148</v>
      </c>
      <c r="N61">
        <v>23</v>
      </c>
      <c r="O61">
        <v>18078</v>
      </c>
      <c r="P61">
        <v>1988.58</v>
      </c>
      <c r="Q61">
        <v>16089.42</v>
      </c>
      <c r="R61">
        <v>8.7442499999999992</v>
      </c>
      <c r="S61">
        <v>116328</v>
      </c>
      <c r="T61">
        <v>-100238.58</v>
      </c>
    </row>
    <row r="62" spans="1:20" x14ac:dyDescent="0.35">
      <c r="A62" t="s">
        <v>20</v>
      </c>
      <c r="B62" t="s">
        <v>38</v>
      </c>
      <c r="C62" t="s">
        <v>102</v>
      </c>
      <c r="D62" t="s">
        <v>164</v>
      </c>
      <c r="E62" t="s">
        <v>104</v>
      </c>
      <c r="F62" t="s">
        <v>165</v>
      </c>
      <c r="G62" t="s">
        <v>157</v>
      </c>
      <c r="H62" s="1">
        <v>44128</v>
      </c>
      <c r="I62" t="s">
        <v>72</v>
      </c>
      <c r="J62" t="s">
        <v>61</v>
      </c>
      <c r="K62">
        <v>2020</v>
      </c>
      <c r="L62">
        <v>1136</v>
      </c>
      <c r="M62">
        <v>320</v>
      </c>
      <c r="N62">
        <v>188</v>
      </c>
      <c r="O62">
        <v>213568</v>
      </c>
      <c r="P62">
        <v>23492.48</v>
      </c>
      <c r="Q62">
        <v>190075.51999999999</v>
      </c>
      <c r="R62">
        <v>105.35375000000001</v>
      </c>
      <c r="S62">
        <v>363520</v>
      </c>
      <c r="T62">
        <v>-173444.48000000001</v>
      </c>
    </row>
    <row r="63" spans="1:20" x14ac:dyDescent="0.35">
      <c r="A63" t="s">
        <v>20</v>
      </c>
      <c r="B63" t="s">
        <v>84</v>
      </c>
      <c r="C63" t="s">
        <v>55</v>
      </c>
      <c r="D63" t="s">
        <v>166</v>
      </c>
      <c r="E63" t="s">
        <v>57</v>
      </c>
      <c r="F63" t="s">
        <v>167</v>
      </c>
      <c r="G63" t="s">
        <v>157</v>
      </c>
      <c r="H63" s="1">
        <v>44146</v>
      </c>
      <c r="I63" t="s">
        <v>60</v>
      </c>
      <c r="J63" t="s">
        <v>61</v>
      </c>
      <c r="K63">
        <v>2020</v>
      </c>
      <c r="L63">
        <v>2899</v>
      </c>
      <c r="M63">
        <v>4</v>
      </c>
      <c r="N63">
        <v>188</v>
      </c>
      <c r="O63">
        <v>545012</v>
      </c>
      <c r="P63">
        <v>65401.439999999995</v>
      </c>
      <c r="Q63">
        <v>479610.56</v>
      </c>
      <c r="R63">
        <v>265.76</v>
      </c>
      <c r="S63">
        <v>11596</v>
      </c>
      <c r="T63">
        <v>468014.56</v>
      </c>
    </row>
    <row r="64" spans="1:20" x14ac:dyDescent="0.35">
      <c r="A64" t="s">
        <v>37</v>
      </c>
      <c r="B64" t="s">
        <v>42</v>
      </c>
      <c r="C64" t="s">
        <v>48</v>
      </c>
      <c r="D64" t="s">
        <v>121</v>
      </c>
      <c r="E64" t="s">
        <v>50</v>
      </c>
      <c r="F64" t="s">
        <v>122</v>
      </c>
      <c r="G64" t="s">
        <v>157</v>
      </c>
      <c r="H64" s="1">
        <v>43889</v>
      </c>
      <c r="I64" t="s">
        <v>52</v>
      </c>
      <c r="J64" t="s">
        <v>36</v>
      </c>
      <c r="K64">
        <v>2020</v>
      </c>
      <c r="L64">
        <v>748</v>
      </c>
      <c r="M64">
        <v>308</v>
      </c>
      <c r="N64">
        <v>525</v>
      </c>
      <c r="O64">
        <v>392700</v>
      </c>
      <c r="P64">
        <v>47124</v>
      </c>
      <c r="Q64">
        <v>345576</v>
      </c>
      <c r="R64">
        <v>191.88399999999999</v>
      </c>
      <c r="S64">
        <v>230384</v>
      </c>
      <c r="T64">
        <v>115192</v>
      </c>
    </row>
    <row r="65" spans="1:20" x14ac:dyDescent="0.35">
      <c r="A65" t="s">
        <v>29</v>
      </c>
      <c r="B65" t="s">
        <v>84</v>
      </c>
      <c r="C65" t="s">
        <v>102</v>
      </c>
      <c r="D65" t="s">
        <v>168</v>
      </c>
      <c r="E65" t="s">
        <v>104</v>
      </c>
      <c r="F65" t="s">
        <v>169</v>
      </c>
      <c r="G65" t="s">
        <v>157</v>
      </c>
      <c r="H65" s="1">
        <v>44181</v>
      </c>
      <c r="I65" t="s">
        <v>64</v>
      </c>
      <c r="J65" t="s">
        <v>61</v>
      </c>
      <c r="K65">
        <v>2020</v>
      </c>
      <c r="L65">
        <v>3058</v>
      </c>
      <c r="M65">
        <v>320</v>
      </c>
      <c r="N65">
        <v>23</v>
      </c>
      <c r="O65">
        <v>70334</v>
      </c>
      <c r="P65">
        <v>8440.08</v>
      </c>
      <c r="Q65">
        <v>61893.919999999998</v>
      </c>
      <c r="R65">
        <v>33.633600000000001</v>
      </c>
      <c r="S65">
        <v>978560</v>
      </c>
      <c r="T65">
        <v>-916666.08</v>
      </c>
    </row>
    <row r="66" spans="1:20" x14ac:dyDescent="0.35">
      <c r="A66" t="s">
        <v>79</v>
      </c>
      <c r="B66" t="s">
        <v>42</v>
      </c>
      <c r="C66" t="s">
        <v>102</v>
      </c>
      <c r="D66" t="s">
        <v>170</v>
      </c>
      <c r="E66" t="s">
        <v>104</v>
      </c>
      <c r="F66" t="s">
        <v>171</v>
      </c>
      <c r="G66" t="s">
        <v>157</v>
      </c>
      <c r="H66" s="1">
        <v>43837</v>
      </c>
      <c r="I66" t="s">
        <v>35</v>
      </c>
      <c r="J66" t="s">
        <v>36</v>
      </c>
      <c r="K66">
        <v>2020</v>
      </c>
      <c r="L66">
        <v>3313</v>
      </c>
      <c r="M66">
        <v>320</v>
      </c>
      <c r="N66">
        <v>18</v>
      </c>
      <c r="O66">
        <v>59634</v>
      </c>
      <c r="P66">
        <v>7156.0800000000008</v>
      </c>
      <c r="Q66">
        <v>52477.919999999998</v>
      </c>
      <c r="R66">
        <v>29.15616</v>
      </c>
      <c r="S66">
        <v>1060160</v>
      </c>
      <c r="T66">
        <v>-1007682.08</v>
      </c>
    </row>
    <row r="67" spans="1:20" x14ac:dyDescent="0.35">
      <c r="A67" t="s">
        <v>37</v>
      </c>
      <c r="B67" t="s">
        <v>47</v>
      </c>
      <c r="C67" t="s">
        <v>55</v>
      </c>
      <c r="D67" t="s">
        <v>172</v>
      </c>
      <c r="E67" t="s">
        <v>57</v>
      </c>
      <c r="F67" t="s">
        <v>173</v>
      </c>
      <c r="G67" t="s">
        <v>157</v>
      </c>
      <c r="H67" s="1">
        <v>43912</v>
      </c>
      <c r="I67" t="s">
        <v>109</v>
      </c>
      <c r="J67" t="s">
        <v>36</v>
      </c>
      <c r="K67">
        <v>2020</v>
      </c>
      <c r="L67">
        <v>530</v>
      </c>
      <c r="M67">
        <v>4</v>
      </c>
      <c r="N67">
        <v>30</v>
      </c>
      <c r="O67">
        <v>15900</v>
      </c>
      <c r="P67">
        <v>2067</v>
      </c>
      <c r="Q67">
        <v>13833</v>
      </c>
      <c r="R67">
        <v>7.6908000000000003</v>
      </c>
      <c r="S67">
        <v>2120</v>
      </c>
      <c r="T67">
        <v>11713</v>
      </c>
    </row>
    <row r="68" spans="1:20" x14ac:dyDescent="0.35">
      <c r="A68" t="s">
        <v>79</v>
      </c>
      <c r="B68" t="s">
        <v>30</v>
      </c>
      <c r="C68" t="s">
        <v>102</v>
      </c>
      <c r="D68" t="s">
        <v>174</v>
      </c>
      <c r="E68" t="s">
        <v>104</v>
      </c>
      <c r="F68" t="s">
        <v>148</v>
      </c>
      <c r="G68" t="s">
        <v>157</v>
      </c>
      <c r="H68" s="1">
        <v>43851</v>
      </c>
      <c r="I68" t="s">
        <v>35</v>
      </c>
      <c r="J68" t="s">
        <v>36</v>
      </c>
      <c r="K68">
        <v>2020</v>
      </c>
      <c r="L68">
        <v>2124</v>
      </c>
      <c r="M68">
        <v>320</v>
      </c>
      <c r="N68">
        <v>18</v>
      </c>
      <c r="O68">
        <v>38232</v>
      </c>
      <c r="P68">
        <v>4970.16</v>
      </c>
      <c r="Q68">
        <v>33261.839999999997</v>
      </c>
      <c r="R68">
        <v>18.4788</v>
      </c>
      <c r="S68">
        <v>679680</v>
      </c>
      <c r="T68">
        <v>-646418.16</v>
      </c>
    </row>
    <row r="69" spans="1:20" x14ac:dyDescent="0.35">
      <c r="A69" t="s">
        <v>37</v>
      </c>
      <c r="B69" t="s">
        <v>21</v>
      </c>
      <c r="C69" t="s">
        <v>55</v>
      </c>
      <c r="D69" t="s">
        <v>125</v>
      </c>
      <c r="E69" t="s">
        <v>57</v>
      </c>
      <c r="F69" t="s">
        <v>126</v>
      </c>
      <c r="G69" t="s">
        <v>157</v>
      </c>
      <c r="H69" s="1">
        <v>43986</v>
      </c>
      <c r="I69" t="s">
        <v>144</v>
      </c>
      <c r="J69" t="s">
        <v>78</v>
      </c>
      <c r="K69">
        <v>2020</v>
      </c>
      <c r="L69">
        <v>3595</v>
      </c>
      <c r="M69">
        <v>4</v>
      </c>
      <c r="N69">
        <v>11</v>
      </c>
      <c r="O69">
        <v>39545</v>
      </c>
      <c r="P69">
        <v>5536.2999999999993</v>
      </c>
      <c r="Q69">
        <v>34008.699999999997</v>
      </c>
      <c r="R69">
        <v>18.035919999999997</v>
      </c>
      <c r="S69">
        <v>14380</v>
      </c>
      <c r="T69">
        <v>19628.699999999997</v>
      </c>
    </row>
    <row r="70" spans="1:20" x14ac:dyDescent="0.35">
      <c r="A70" t="s">
        <v>20</v>
      </c>
      <c r="B70" t="s">
        <v>65</v>
      </c>
      <c r="C70" t="s">
        <v>55</v>
      </c>
      <c r="D70" t="s">
        <v>175</v>
      </c>
      <c r="E70" t="s">
        <v>57</v>
      </c>
      <c r="F70" t="s">
        <v>176</v>
      </c>
      <c r="G70" t="s">
        <v>157</v>
      </c>
      <c r="H70" s="1">
        <v>43918</v>
      </c>
      <c r="I70" t="s">
        <v>109</v>
      </c>
      <c r="J70" t="s">
        <v>36</v>
      </c>
      <c r="K70">
        <v>2020</v>
      </c>
      <c r="L70">
        <v>1228</v>
      </c>
      <c r="M70">
        <v>4</v>
      </c>
      <c r="N70">
        <v>188</v>
      </c>
      <c r="O70">
        <v>230864</v>
      </c>
      <c r="P70">
        <v>32320.960000000003</v>
      </c>
      <c r="Q70">
        <v>198543.04</v>
      </c>
      <c r="R70">
        <v>109.9725</v>
      </c>
      <c r="S70">
        <v>4912</v>
      </c>
      <c r="T70">
        <v>193631.04</v>
      </c>
    </row>
    <row r="71" spans="1:20" x14ac:dyDescent="0.35">
      <c r="A71" t="s">
        <v>37</v>
      </c>
      <c r="B71" t="s">
        <v>21</v>
      </c>
      <c r="C71" t="s">
        <v>22</v>
      </c>
      <c r="D71" t="s">
        <v>110</v>
      </c>
      <c r="E71" t="s">
        <v>24</v>
      </c>
      <c r="F71" t="s">
        <v>111</v>
      </c>
      <c r="G71" t="s">
        <v>157</v>
      </c>
      <c r="H71" s="1">
        <v>44151</v>
      </c>
      <c r="I71" t="s">
        <v>60</v>
      </c>
      <c r="J71" t="s">
        <v>61</v>
      </c>
      <c r="K71">
        <v>2020</v>
      </c>
      <c r="L71">
        <v>2072</v>
      </c>
      <c r="M71">
        <v>6</v>
      </c>
      <c r="N71">
        <v>11</v>
      </c>
      <c r="O71">
        <v>22792</v>
      </c>
      <c r="P71">
        <v>3190.88</v>
      </c>
      <c r="Q71">
        <v>19601.12</v>
      </c>
      <c r="R71">
        <v>10.396540000000002</v>
      </c>
      <c r="S71">
        <v>12432</v>
      </c>
      <c r="T71">
        <v>7169.119999999999</v>
      </c>
    </row>
    <row r="72" spans="1:20" x14ac:dyDescent="0.35">
      <c r="A72" t="s">
        <v>29</v>
      </c>
      <c r="B72" t="s">
        <v>84</v>
      </c>
      <c r="C72" t="s">
        <v>31</v>
      </c>
      <c r="D72" t="s">
        <v>177</v>
      </c>
      <c r="E72" t="s">
        <v>33</v>
      </c>
      <c r="F72" t="s">
        <v>178</v>
      </c>
      <c r="G72" t="s">
        <v>157</v>
      </c>
      <c r="H72" s="1">
        <v>43922</v>
      </c>
      <c r="I72" t="s">
        <v>112</v>
      </c>
      <c r="J72" t="s">
        <v>78</v>
      </c>
      <c r="K72">
        <v>2020</v>
      </c>
      <c r="L72">
        <v>2964</v>
      </c>
      <c r="M72">
        <v>12</v>
      </c>
      <c r="N72">
        <v>23</v>
      </c>
      <c r="O72">
        <v>68172</v>
      </c>
      <c r="P72">
        <v>9544.0800000000017</v>
      </c>
      <c r="Q72">
        <v>58627.92</v>
      </c>
      <c r="R72">
        <v>31.863</v>
      </c>
      <c r="S72">
        <v>35568</v>
      </c>
      <c r="T72">
        <v>23059.919999999998</v>
      </c>
    </row>
    <row r="73" spans="1:20" x14ac:dyDescent="0.35">
      <c r="A73" t="s">
        <v>79</v>
      </c>
      <c r="B73" t="s">
        <v>38</v>
      </c>
      <c r="C73" t="s">
        <v>31</v>
      </c>
      <c r="D73" t="s">
        <v>127</v>
      </c>
      <c r="E73" t="s">
        <v>33</v>
      </c>
      <c r="F73" t="s">
        <v>128</v>
      </c>
      <c r="G73" t="s">
        <v>157</v>
      </c>
      <c r="H73" s="1">
        <v>43952</v>
      </c>
      <c r="I73" t="s">
        <v>77</v>
      </c>
      <c r="J73" t="s">
        <v>78</v>
      </c>
      <c r="K73">
        <v>2020</v>
      </c>
      <c r="L73">
        <v>2666</v>
      </c>
      <c r="M73">
        <v>12</v>
      </c>
      <c r="N73">
        <v>18</v>
      </c>
      <c r="O73">
        <v>47988</v>
      </c>
      <c r="P73">
        <v>6718.3200000000006</v>
      </c>
      <c r="Q73">
        <v>41269.68</v>
      </c>
      <c r="R73">
        <v>22.931039999999999</v>
      </c>
      <c r="S73">
        <v>31992</v>
      </c>
      <c r="T73">
        <v>9277.68</v>
      </c>
    </row>
    <row r="74" spans="1:20" x14ac:dyDescent="0.35">
      <c r="A74" t="s">
        <v>29</v>
      </c>
      <c r="B74" t="s">
        <v>42</v>
      </c>
      <c r="C74" t="s">
        <v>102</v>
      </c>
      <c r="D74" t="s">
        <v>179</v>
      </c>
      <c r="E74" t="s">
        <v>104</v>
      </c>
      <c r="F74" t="s">
        <v>180</v>
      </c>
      <c r="G74" t="s">
        <v>157</v>
      </c>
      <c r="H74" s="1">
        <v>44111</v>
      </c>
      <c r="I74" t="s">
        <v>72</v>
      </c>
      <c r="J74" t="s">
        <v>61</v>
      </c>
      <c r="K74">
        <v>2020</v>
      </c>
      <c r="L74">
        <v>2092</v>
      </c>
      <c r="M74">
        <v>320</v>
      </c>
      <c r="N74">
        <v>23</v>
      </c>
      <c r="O74">
        <v>48116</v>
      </c>
      <c r="P74">
        <v>6736.2400000000007</v>
      </c>
      <c r="Q74">
        <v>41379.760000000002</v>
      </c>
      <c r="R74">
        <v>22.4847</v>
      </c>
      <c r="S74">
        <v>669440</v>
      </c>
      <c r="T74">
        <v>-628060.24</v>
      </c>
    </row>
    <row r="75" spans="1:20" x14ac:dyDescent="0.35">
      <c r="A75" t="s">
        <v>29</v>
      </c>
      <c r="B75" t="s">
        <v>47</v>
      </c>
      <c r="C75" t="s">
        <v>102</v>
      </c>
      <c r="D75" t="s">
        <v>181</v>
      </c>
      <c r="E75" t="s">
        <v>104</v>
      </c>
      <c r="F75" t="s">
        <v>182</v>
      </c>
      <c r="G75" t="s">
        <v>157</v>
      </c>
      <c r="H75" s="1">
        <v>44156</v>
      </c>
      <c r="I75" t="s">
        <v>60</v>
      </c>
      <c r="J75" t="s">
        <v>61</v>
      </c>
      <c r="K75">
        <v>2020</v>
      </c>
      <c r="L75">
        <v>2244</v>
      </c>
      <c r="M75">
        <v>320</v>
      </c>
      <c r="N75">
        <v>23</v>
      </c>
      <c r="O75">
        <v>51612</v>
      </c>
      <c r="P75">
        <v>7225.68</v>
      </c>
      <c r="Q75">
        <v>44386.32</v>
      </c>
      <c r="R75">
        <v>24.123000000000001</v>
      </c>
      <c r="S75">
        <v>718080</v>
      </c>
      <c r="T75">
        <v>-673693.68</v>
      </c>
    </row>
    <row r="76" spans="1:20" x14ac:dyDescent="0.35">
      <c r="A76" t="s">
        <v>37</v>
      </c>
      <c r="B76" t="s">
        <v>54</v>
      </c>
      <c r="C76" t="s">
        <v>31</v>
      </c>
      <c r="D76" t="s">
        <v>183</v>
      </c>
      <c r="E76" t="s">
        <v>33</v>
      </c>
      <c r="F76" t="s">
        <v>184</v>
      </c>
      <c r="G76" t="s">
        <v>157</v>
      </c>
      <c r="H76" s="1">
        <v>43911</v>
      </c>
      <c r="I76" t="s">
        <v>109</v>
      </c>
      <c r="J76" t="s">
        <v>36</v>
      </c>
      <c r="K76">
        <v>2020</v>
      </c>
      <c r="L76">
        <v>320</v>
      </c>
      <c r="M76">
        <v>12</v>
      </c>
      <c r="N76">
        <v>30</v>
      </c>
      <c r="O76">
        <v>9600</v>
      </c>
      <c r="P76">
        <v>1440</v>
      </c>
      <c r="Q76">
        <v>8160</v>
      </c>
      <c r="R76">
        <v>4.5389999999999997</v>
      </c>
      <c r="S76">
        <v>3840</v>
      </c>
      <c r="T76">
        <v>4320</v>
      </c>
    </row>
    <row r="77" spans="1:20" x14ac:dyDescent="0.35">
      <c r="A77" t="s">
        <v>37</v>
      </c>
      <c r="B77" t="s">
        <v>47</v>
      </c>
      <c r="C77" t="s">
        <v>31</v>
      </c>
      <c r="D77" t="s">
        <v>94</v>
      </c>
      <c r="E77" t="s">
        <v>33</v>
      </c>
      <c r="F77" t="s">
        <v>95</v>
      </c>
      <c r="G77" t="s">
        <v>157</v>
      </c>
      <c r="H77" s="1">
        <v>43862</v>
      </c>
      <c r="I77" t="s">
        <v>52</v>
      </c>
      <c r="J77" t="s">
        <v>36</v>
      </c>
      <c r="K77">
        <v>2020</v>
      </c>
      <c r="L77">
        <v>2581</v>
      </c>
      <c r="M77">
        <v>12</v>
      </c>
      <c r="N77">
        <v>525</v>
      </c>
      <c r="O77">
        <v>1355025</v>
      </c>
      <c r="P77">
        <v>203253.75</v>
      </c>
      <c r="Q77">
        <v>1151771.25</v>
      </c>
      <c r="R77">
        <v>639.92250000000001</v>
      </c>
      <c r="S77">
        <v>30972</v>
      </c>
      <c r="T77">
        <v>1120799.25</v>
      </c>
    </row>
    <row r="78" spans="1:20" x14ac:dyDescent="0.35">
      <c r="A78" t="s">
        <v>20</v>
      </c>
      <c r="B78" t="s">
        <v>42</v>
      </c>
      <c r="C78" t="s">
        <v>43</v>
      </c>
      <c r="D78" t="s">
        <v>185</v>
      </c>
      <c r="E78" t="s">
        <v>45</v>
      </c>
      <c r="F78" t="s">
        <v>186</v>
      </c>
      <c r="G78" t="s">
        <v>157</v>
      </c>
      <c r="H78" s="1">
        <v>43892</v>
      </c>
      <c r="I78" t="s">
        <v>109</v>
      </c>
      <c r="J78" t="s">
        <v>36</v>
      </c>
      <c r="K78">
        <v>2020</v>
      </c>
      <c r="L78">
        <v>2926</v>
      </c>
      <c r="M78">
        <v>148</v>
      </c>
      <c r="N78">
        <v>188</v>
      </c>
      <c r="O78">
        <v>550088</v>
      </c>
      <c r="P78">
        <v>82513.2</v>
      </c>
      <c r="Q78">
        <v>467574.8</v>
      </c>
      <c r="R78">
        <v>259.03750000000002</v>
      </c>
      <c r="S78">
        <v>433048</v>
      </c>
      <c r="T78">
        <v>34526.799999999988</v>
      </c>
    </row>
    <row r="79" spans="1:20" x14ac:dyDescent="0.35">
      <c r="A79" t="s">
        <v>37</v>
      </c>
      <c r="B79" t="s">
        <v>21</v>
      </c>
      <c r="C79" t="s">
        <v>48</v>
      </c>
      <c r="D79" t="s">
        <v>98</v>
      </c>
      <c r="E79" t="s">
        <v>50</v>
      </c>
      <c r="F79" t="s">
        <v>99</v>
      </c>
      <c r="G79" t="s">
        <v>157</v>
      </c>
      <c r="H79" s="1">
        <v>44131</v>
      </c>
      <c r="I79" t="s">
        <v>72</v>
      </c>
      <c r="J79" t="s">
        <v>61</v>
      </c>
      <c r="K79">
        <v>2020</v>
      </c>
      <c r="L79">
        <v>320</v>
      </c>
      <c r="M79">
        <v>308</v>
      </c>
      <c r="N79">
        <v>30</v>
      </c>
      <c r="O79">
        <v>9600</v>
      </c>
      <c r="P79">
        <v>1440</v>
      </c>
      <c r="Q79">
        <v>8160</v>
      </c>
      <c r="R79">
        <v>4.5389999999999997</v>
      </c>
      <c r="S79">
        <v>98560</v>
      </c>
      <c r="T79">
        <v>-90400</v>
      </c>
    </row>
    <row r="80" spans="1:20" x14ac:dyDescent="0.35">
      <c r="A80" t="s">
        <v>20</v>
      </c>
      <c r="B80" t="s">
        <v>21</v>
      </c>
      <c r="C80" t="s">
        <v>48</v>
      </c>
      <c r="D80" t="s">
        <v>187</v>
      </c>
      <c r="E80" t="s">
        <v>50</v>
      </c>
      <c r="F80" t="s">
        <v>188</v>
      </c>
      <c r="G80" t="s">
        <v>157</v>
      </c>
      <c r="H80" s="1">
        <v>43883</v>
      </c>
      <c r="I80" t="s">
        <v>52</v>
      </c>
      <c r="J80" t="s">
        <v>36</v>
      </c>
      <c r="K80">
        <v>2020</v>
      </c>
      <c r="L80">
        <v>3545</v>
      </c>
      <c r="M80">
        <v>308</v>
      </c>
      <c r="N80">
        <v>188</v>
      </c>
      <c r="O80">
        <v>666460</v>
      </c>
      <c r="P80">
        <v>99969</v>
      </c>
      <c r="Q80">
        <v>566491</v>
      </c>
      <c r="R80">
        <v>313.86250000000001</v>
      </c>
      <c r="S80">
        <v>1091860</v>
      </c>
      <c r="T80">
        <v>-525369</v>
      </c>
    </row>
    <row r="81" spans="1:20" x14ac:dyDescent="0.35">
      <c r="A81" t="s">
        <v>37</v>
      </c>
      <c r="B81" t="s">
        <v>30</v>
      </c>
      <c r="C81" t="s">
        <v>55</v>
      </c>
      <c r="D81" t="s">
        <v>189</v>
      </c>
      <c r="E81" t="s">
        <v>57</v>
      </c>
      <c r="F81" t="s">
        <v>128</v>
      </c>
      <c r="G81" t="s">
        <v>26</v>
      </c>
      <c r="H81" s="1">
        <v>43892</v>
      </c>
      <c r="I81" t="s">
        <v>109</v>
      </c>
      <c r="J81" t="s">
        <v>36</v>
      </c>
      <c r="K81">
        <v>2020</v>
      </c>
      <c r="L81">
        <v>1942</v>
      </c>
      <c r="M81">
        <v>4</v>
      </c>
      <c r="N81">
        <v>30</v>
      </c>
      <c r="O81">
        <v>58260</v>
      </c>
      <c r="P81">
        <v>0</v>
      </c>
      <c r="Q81">
        <v>58260</v>
      </c>
      <c r="R81">
        <v>32.369999999999997</v>
      </c>
      <c r="S81">
        <v>7768</v>
      </c>
      <c r="T81">
        <v>50492</v>
      </c>
    </row>
    <row r="82" spans="1:20" x14ac:dyDescent="0.35">
      <c r="A82" t="s">
        <v>37</v>
      </c>
      <c r="B82" t="s">
        <v>47</v>
      </c>
      <c r="C82" t="s">
        <v>55</v>
      </c>
      <c r="D82" t="s">
        <v>172</v>
      </c>
      <c r="E82" t="s">
        <v>57</v>
      </c>
      <c r="F82" t="s">
        <v>173</v>
      </c>
      <c r="G82" t="s">
        <v>26</v>
      </c>
      <c r="H82" s="1">
        <v>43898</v>
      </c>
      <c r="I82" t="s">
        <v>109</v>
      </c>
      <c r="J82" t="s">
        <v>36</v>
      </c>
      <c r="K82">
        <v>2020</v>
      </c>
      <c r="L82">
        <v>1585</v>
      </c>
      <c r="M82">
        <v>4</v>
      </c>
      <c r="N82">
        <v>30</v>
      </c>
      <c r="O82">
        <v>47550</v>
      </c>
      <c r="P82">
        <v>0</v>
      </c>
      <c r="Q82">
        <v>47550</v>
      </c>
      <c r="R82">
        <v>26.42</v>
      </c>
      <c r="S82">
        <v>6340</v>
      </c>
      <c r="T82">
        <v>41210</v>
      </c>
    </row>
    <row r="83" spans="1:20" x14ac:dyDescent="0.35">
      <c r="A83" t="s">
        <v>29</v>
      </c>
      <c r="B83" t="s">
        <v>54</v>
      </c>
      <c r="C83" t="s">
        <v>55</v>
      </c>
      <c r="D83" t="s">
        <v>190</v>
      </c>
      <c r="E83" t="s">
        <v>57</v>
      </c>
      <c r="F83" t="s">
        <v>191</v>
      </c>
      <c r="G83" t="s">
        <v>26</v>
      </c>
      <c r="H83" s="1">
        <v>43969</v>
      </c>
      <c r="I83" t="s">
        <v>77</v>
      </c>
      <c r="J83" t="s">
        <v>78</v>
      </c>
      <c r="K83">
        <v>2020</v>
      </c>
      <c r="L83">
        <v>1066</v>
      </c>
      <c r="M83">
        <v>4</v>
      </c>
      <c r="N83">
        <v>23</v>
      </c>
      <c r="O83">
        <v>24518</v>
      </c>
      <c r="P83">
        <v>0</v>
      </c>
      <c r="Q83">
        <v>24518</v>
      </c>
      <c r="R83">
        <v>13.32</v>
      </c>
      <c r="S83">
        <v>4264</v>
      </c>
      <c r="T83">
        <v>20254</v>
      </c>
    </row>
    <row r="84" spans="1:20" x14ac:dyDescent="0.35">
      <c r="A84" t="s">
        <v>79</v>
      </c>
      <c r="B84" t="s">
        <v>84</v>
      </c>
      <c r="C84" t="s">
        <v>22</v>
      </c>
      <c r="D84" t="s">
        <v>192</v>
      </c>
      <c r="E84" t="s">
        <v>24</v>
      </c>
      <c r="F84" t="s">
        <v>114</v>
      </c>
      <c r="G84" t="s">
        <v>26</v>
      </c>
      <c r="H84" s="1">
        <v>44128</v>
      </c>
      <c r="I84" t="s">
        <v>72</v>
      </c>
      <c r="J84" t="s">
        <v>61</v>
      </c>
      <c r="K84">
        <v>2020</v>
      </c>
      <c r="L84">
        <v>3022</v>
      </c>
      <c r="M84">
        <v>6</v>
      </c>
      <c r="N84">
        <v>18</v>
      </c>
      <c r="O84">
        <v>54396</v>
      </c>
      <c r="P84">
        <v>0</v>
      </c>
      <c r="Q84">
        <v>54396</v>
      </c>
      <c r="R84">
        <v>30.216000000000001</v>
      </c>
      <c r="S84">
        <v>18132</v>
      </c>
      <c r="T84">
        <v>36264</v>
      </c>
    </row>
    <row r="85" spans="1:20" x14ac:dyDescent="0.35">
      <c r="A85" t="s">
        <v>79</v>
      </c>
      <c r="B85" t="s">
        <v>42</v>
      </c>
      <c r="C85" t="s">
        <v>22</v>
      </c>
      <c r="D85" t="s">
        <v>193</v>
      </c>
      <c r="E85" t="s">
        <v>24</v>
      </c>
      <c r="F85" t="s">
        <v>116</v>
      </c>
      <c r="G85" t="s">
        <v>26</v>
      </c>
      <c r="H85" s="1">
        <v>43904</v>
      </c>
      <c r="I85" t="s">
        <v>109</v>
      </c>
      <c r="J85" t="s">
        <v>36</v>
      </c>
      <c r="K85">
        <v>2020</v>
      </c>
      <c r="L85">
        <v>1854</v>
      </c>
      <c r="M85">
        <v>6</v>
      </c>
      <c r="N85">
        <v>18</v>
      </c>
      <c r="O85">
        <v>33372</v>
      </c>
      <c r="P85">
        <v>0</v>
      </c>
      <c r="Q85">
        <v>33372</v>
      </c>
      <c r="R85">
        <v>18.54</v>
      </c>
      <c r="S85">
        <v>11124</v>
      </c>
      <c r="T85">
        <v>22248</v>
      </c>
    </row>
    <row r="86" spans="1:20" x14ac:dyDescent="0.35">
      <c r="A86" t="s">
        <v>29</v>
      </c>
      <c r="B86" t="s">
        <v>47</v>
      </c>
      <c r="C86" t="s">
        <v>22</v>
      </c>
      <c r="D86" t="s">
        <v>194</v>
      </c>
      <c r="E86" t="s">
        <v>24</v>
      </c>
      <c r="F86" t="s">
        <v>195</v>
      </c>
      <c r="G86" t="s">
        <v>26</v>
      </c>
      <c r="H86" s="1">
        <v>44041</v>
      </c>
      <c r="I86" t="s">
        <v>89</v>
      </c>
      <c r="J86" t="s">
        <v>28</v>
      </c>
      <c r="K86">
        <v>2020</v>
      </c>
      <c r="L86">
        <v>2964</v>
      </c>
      <c r="M86">
        <v>6</v>
      </c>
      <c r="N86">
        <v>23</v>
      </c>
      <c r="O86">
        <v>68172</v>
      </c>
      <c r="P86">
        <v>0</v>
      </c>
      <c r="Q86">
        <v>68172</v>
      </c>
      <c r="R86">
        <v>37.049999999999997</v>
      </c>
      <c r="S86">
        <v>17784</v>
      </c>
      <c r="T86">
        <v>50388</v>
      </c>
    </row>
    <row r="87" spans="1:20" x14ac:dyDescent="0.35">
      <c r="A87" t="s">
        <v>29</v>
      </c>
      <c r="B87" t="s">
        <v>21</v>
      </c>
      <c r="C87" t="s">
        <v>22</v>
      </c>
      <c r="D87" t="s">
        <v>196</v>
      </c>
      <c r="E87" t="s">
        <v>24</v>
      </c>
      <c r="F87" t="s">
        <v>159</v>
      </c>
      <c r="G87" t="s">
        <v>26</v>
      </c>
      <c r="H87" s="1">
        <v>43899</v>
      </c>
      <c r="I87" t="s">
        <v>109</v>
      </c>
      <c r="J87" t="s">
        <v>36</v>
      </c>
      <c r="K87">
        <v>2020</v>
      </c>
      <c r="L87">
        <v>738</v>
      </c>
      <c r="M87">
        <v>6</v>
      </c>
      <c r="N87">
        <v>23</v>
      </c>
      <c r="O87">
        <v>16974</v>
      </c>
      <c r="P87">
        <v>0</v>
      </c>
      <c r="Q87">
        <v>16974</v>
      </c>
      <c r="R87">
        <v>9.2249999999999996</v>
      </c>
      <c r="S87">
        <v>4428</v>
      </c>
      <c r="T87">
        <v>12546</v>
      </c>
    </row>
    <row r="88" spans="1:20" x14ac:dyDescent="0.35">
      <c r="A88" t="s">
        <v>37</v>
      </c>
      <c r="B88" t="s">
        <v>38</v>
      </c>
      <c r="C88" t="s">
        <v>31</v>
      </c>
      <c r="D88" t="s">
        <v>39</v>
      </c>
      <c r="E88" t="s">
        <v>33</v>
      </c>
      <c r="F88" t="s">
        <v>40</v>
      </c>
      <c r="G88" t="s">
        <v>26</v>
      </c>
      <c r="H88" s="1">
        <v>43951</v>
      </c>
      <c r="I88" t="s">
        <v>112</v>
      </c>
      <c r="J88" t="s">
        <v>78</v>
      </c>
      <c r="K88">
        <v>2020</v>
      </c>
      <c r="L88">
        <v>350</v>
      </c>
      <c r="M88">
        <v>12</v>
      </c>
      <c r="N88">
        <v>30</v>
      </c>
      <c r="O88">
        <v>10500</v>
      </c>
      <c r="P88">
        <v>0</v>
      </c>
      <c r="Q88">
        <v>10500</v>
      </c>
      <c r="R88">
        <v>5.84</v>
      </c>
      <c r="S88">
        <v>4200</v>
      </c>
      <c r="T88">
        <v>6300</v>
      </c>
    </row>
    <row r="89" spans="1:20" x14ac:dyDescent="0.35">
      <c r="A89" t="s">
        <v>79</v>
      </c>
      <c r="B89" t="s">
        <v>84</v>
      </c>
      <c r="C89" t="s">
        <v>31</v>
      </c>
      <c r="D89" t="s">
        <v>197</v>
      </c>
      <c r="E89" t="s">
        <v>33</v>
      </c>
      <c r="F89" t="s">
        <v>198</v>
      </c>
      <c r="G89" t="s">
        <v>26</v>
      </c>
      <c r="H89" s="1">
        <v>43975</v>
      </c>
      <c r="I89" t="s">
        <v>77</v>
      </c>
      <c r="J89" t="s">
        <v>78</v>
      </c>
      <c r="K89">
        <v>2020</v>
      </c>
      <c r="L89">
        <v>440</v>
      </c>
      <c r="M89">
        <v>12</v>
      </c>
      <c r="N89">
        <v>18</v>
      </c>
      <c r="O89">
        <v>7920</v>
      </c>
      <c r="P89">
        <v>0</v>
      </c>
      <c r="Q89">
        <v>7920</v>
      </c>
      <c r="R89">
        <v>4.4039999999999999</v>
      </c>
      <c r="S89">
        <v>5280</v>
      </c>
      <c r="T89">
        <v>2640</v>
      </c>
    </row>
    <row r="90" spans="1:20" x14ac:dyDescent="0.35">
      <c r="A90" t="s">
        <v>37</v>
      </c>
      <c r="B90" t="s">
        <v>47</v>
      </c>
      <c r="C90" t="s">
        <v>31</v>
      </c>
      <c r="D90" t="s">
        <v>94</v>
      </c>
      <c r="E90" t="s">
        <v>33</v>
      </c>
      <c r="F90" t="s">
        <v>95</v>
      </c>
      <c r="G90" t="s">
        <v>26</v>
      </c>
      <c r="H90" s="1">
        <v>44072</v>
      </c>
      <c r="I90" t="s">
        <v>41</v>
      </c>
      <c r="J90" t="s">
        <v>28</v>
      </c>
      <c r="K90">
        <v>2020</v>
      </c>
      <c r="L90">
        <v>1060</v>
      </c>
      <c r="M90">
        <v>12</v>
      </c>
      <c r="N90">
        <v>11</v>
      </c>
      <c r="O90">
        <v>11660</v>
      </c>
      <c r="P90">
        <v>0</v>
      </c>
      <c r="Q90">
        <v>11660</v>
      </c>
      <c r="R90">
        <v>6.181</v>
      </c>
      <c r="S90">
        <v>12720</v>
      </c>
      <c r="T90">
        <v>-1060</v>
      </c>
    </row>
    <row r="91" spans="1:20" x14ac:dyDescent="0.35">
      <c r="A91" t="s">
        <v>29</v>
      </c>
      <c r="B91" t="s">
        <v>38</v>
      </c>
      <c r="C91" t="s">
        <v>31</v>
      </c>
      <c r="D91" t="s">
        <v>199</v>
      </c>
      <c r="E91" t="s">
        <v>33</v>
      </c>
      <c r="F91" t="s">
        <v>200</v>
      </c>
      <c r="G91" t="s">
        <v>26</v>
      </c>
      <c r="H91" s="1">
        <v>43888</v>
      </c>
      <c r="I91" t="s">
        <v>52</v>
      </c>
      <c r="J91" t="s">
        <v>36</v>
      </c>
      <c r="K91">
        <v>2020</v>
      </c>
      <c r="L91">
        <v>2966</v>
      </c>
      <c r="M91">
        <v>12</v>
      </c>
      <c r="N91">
        <v>23</v>
      </c>
      <c r="O91">
        <v>68218</v>
      </c>
      <c r="P91">
        <v>0</v>
      </c>
      <c r="Q91">
        <v>68218</v>
      </c>
      <c r="R91">
        <v>37.08</v>
      </c>
      <c r="S91">
        <v>35592</v>
      </c>
      <c r="T91">
        <v>32626</v>
      </c>
    </row>
    <row r="92" spans="1:20" x14ac:dyDescent="0.35">
      <c r="A92" t="s">
        <v>79</v>
      </c>
      <c r="B92" t="s">
        <v>30</v>
      </c>
      <c r="C92" t="s">
        <v>43</v>
      </c>
      <c r="D92" t="s">
        <v>201</v>
      </c>
      <c r="E92" t="s">
        <v>45</v>
      </c>
      <c r="F92" t="s">
        <v>161</v>
      </c>
      <c r="G92" t="s">
        <v>26</v>
      </c>
      <c r="H92" s="1">
        <v>44062</v>
      </c>
      <c r="I92" t="s">
        <v>41</v>
      </c>
      <c r="J92" t="s">
        <v>28</v>
      </c>
      <c r="K92">
        <v>2020</v>
      </c>
      <c r="L92">
        <v>2593</v>
      </c>
      <c r="M92">
        <v>148</v>
      </c>
      <c r="N92">
        <v>18</v>
      </c>
      <c r="O92">
        <v>46674</v>
      </c>
      <c r="P92">
        <v>0</v>
      </c>
      <c r="Q92">
        <v>46674</v>
      </c>
      <c r="R92">
        <v>25.931999999999999</v>
      </c>
      <c r="S92">
        <v>383764</v>
      </c>
      <c r="T92">
        <v>-337090</v>
      </c>
    </row>
    <row r="93" spans="1:20" x14ac:dyDescent="0.35">
      <c r="A93" t="s">
        <v>29</v>
      </c>
      <c r="B93" t="s">
        <v>42</v>
      </c>
      <c r="C93" t="s">
        <v>48</v>
      </c>
      <c r="D93" t="s">
        <v>202</v>
      </c>
      <c r="E93" t="s">
        <v>50</v>
      </c>
      <c r="F93" t="s">
        <v>116</v>
      </c>
      <c r="G93" t="s">
        <v>26</v>
      </c>
      <c r="H93" s="1">
        <v>44036</v>
      </c>
      <c r="I93" t="s">
        <v>89</v>
      </c>
      <c r="J93" t="s">
        <v>28</v>
      </c>
      <c r="K93">
        <v>2020</v>
      </c>
      <c r="L93">
        <v>2614</v>
      </c>
      <c r="M93">
        <v>308</v>
      </c>
      <c r="N93">
        <v>23</v>
      </c>
      <c r="O93">
        <v>60122</v>
      </c>
      <c r="P93">
        <v>0</v>
      </c>
      <c r="Q93">
        <v>60122</v>
      </c>
      <c r="R93">
        <v>32.67</v>
      </c>
      <c r="S93">
        <v>805112</v>
      </c>
      <c r="T93">
        <v>-744990</v>
      </c>
    </row>
    <row r="94" spans="1:20" x14ac:dyDescent="0.35">
      <c r="A94" t="s">
        <v>29</v>
      </c>
      <c r="B94" t="s">
        <v>42</v>
      </c>
      <c r="C94" t="s">
        <v>48</v>
      </c>
      <c r="D94" t="s">
        <v>203</v>
      </c>
      <c r="E94" t="s">
        <v>50</v>
      </c>
      <c r="F94" t="s">
        <v>188</v>
      </c>
      <c r="G94" t="s">
        <v>26</v>
      </c>
      <c r="H94" s="1">
        <v>43864</v>
      </c>
      <c r="I94" t="s">
        <v>52</v>
      </c>
      <c r="J94" t="s">
        <v>36</v>
      </c>
      <c r="K94">
        <v>2020</v>
      </c>
      <c r="L94">
        <v>1066</v>
      </c>
      <c r="M94">
        <v>308</v>
      </c>
      <c r="N94">
        <v>23</v>
      </c>
      <c r="O94">
        <v>24518</v>
      </c>
      <c r="P94">
        <v>0</v>
      </c>
      <c r="Q94">
        <v>24518</v>
      </c>
      <c r="R94">
        <v>13.32</v>
      </c>
      <c r="S94">
        <v>328328</v>
      </c>
      <c r="T94">
        <v>-303810</v>
      </c>
    </row>
    <row r="95" spans="1:20" x14ac:dyDescent="0.35">
      <c r="A95" t="s">
        <v>53</v>
      </c>
      <c r="B95" t="s">
        <v>84</v>
      </c>
      <c r="C95" t="s">
        <v>48</v>
      </c>
      <c r="D95" t="s">
        <v>133</v>
      </c>
      <c r="E95" t="s">
        <v>50</v>
      </c>
      <c r="F95" t="s">
        <v>134</v>
      </c>
      <c r="G95" t="s">
        <v>26</v>
      </c>
      <c r="H95" s="1">
        <v>43974</v>
      </c>
      <c r="I95" t="s">
        <v>77</v>
      </c>
      <c r="J95" t="s">
        <v>78</v>
      </c>
      <c r="K95">
        <v>2020</v>
      </c>
      <c r="L95">
        <v>2581</v>
      </c>
      <c r="M95">
        <v>308</v>
      </c>
      <c r="N95">
        <v>450</v>
      </c>
      <c r="O95">
        <v>1161450</v>
      </c>
      <c r="P95">
        <v>0</v>
      </c>
      <c r="Q95">
        <v>1161450</v>
      </c>
      <c r="R95">
        <v>645.29999999999995</v>
      </c>
      <c r="S95">
        <v>794948</v>
      </c>
      <c r="T95">
        <v>366502</v>
      </c>
    </row>
    <row r="96" spans="1:20" x14ac:dyDescent="0.35">
      <c r="A96" t="s">
        <v>37</v>
      </c>
      <c r="B96" t="s">
        <v>21</v>
      </c>
      <c r="C96" t="s">
        <v>102</v>
      </c>
      <c r="D96" t="s">
        <v>137</v>
      </c>
      <c r="E96" t="s">
        <v>104</v>
      </c>
      <c r="F96" t="s">
        <v>138</v>
      </c>
      <c r="G96" t="s">
        <v>26</v>
      </c>
      <c r="H96" s="1">
        <v>44066</v>
      </c>
      <c r="I96" t="s">
        <v>41</v>
      </c>
      <c r="J96" t="s">
        <v>28</v>
      </c>
      <c r="K96">
        <v>2020</v>
      </c>
      <c r="L96">
        <v>3300</v>
      </c>
      <c r="M96">
        <v>320</v>
      </c>
      <c r="N96">
        <v>525</v>
      </c>
      <c r="O96">
        <v>1732500</v>
      </c>
      <c r="P96">
        <v>0</v>
      </c>
      <c r="Q96">
        <v>1732500</v>
      </c>
      <c r="R96">
        <v>962.5</v>
      </c>
      <c r="S96">
        <v>1056000</v>
      </c>
      <c r="T96">
        <v>676500</v>
      </c>
    </row>
    <row r="97" spans="1:20" x14ac:dyDescent="0.35">
      <c r="A97" t="s">
        <v>79</v>
      </c>
      <c r="B97" t="s">
        <v>30</v>
      </c>
      <c r="C97" t="s">
        <v>102</v>
      </c>
      <c r="D97" t="s">
        <v>204</v>
      </c>
      <c r="E97" t="s">
        <v>104</v>
      </c>
      <c r="F97" t="s">
        <v>205</v>
      </c>
      <c r="G97" t="s">
        <v>26</v>
      </c>
      <c r="H97" s="1">
        <v>44117</v>
      </c>
      <c r="I97" t="s">
        <v>72</v>
      </c>
      <c r="J97" t="s">
        <v>61</v>
      </c>
      <c r="K97">
        <v>2020</v>
      </c>
      <c r="L97">
        <v>2344</v>
      </c>
      <c r="M97">
        <v>320</v>
      </c>
      <c r="N97">
        <v>18</v>
      </c>
      <c r="O97">
        <v>42192</v>
      </c>
      <c r="P97">
        <v>0</v>
      </c>
      <c r="Q97">
        <v>42192</v>
      </c>
      <c r="R97">
        <v>23.436</v>
      </c>
      <c r="S97">
        <v>750080</v>
      </c>
      <c r="T97">
        <v>-707888</v>
      </c>
    </row>
    <row r="98" spans="1:20" x14ac:dyDescent="0.35">
      <c r="A98" t="s">
        <v>79</v>
      </c>
      <c r="B98" t="s">
        <v>30</v>
      </c>
      <c r="C98" t="s">
        <v>102</v>
      </c>
      <c r="D98" t="s">
        <v>204</v>
      </c>
      <c r="E98" t="s">
        <v>104</v>
      </c>
      <c r="F98" t="s">
        <v>205</v>
      </c>
      <c r="G98" t="s">
        <v>26</v>
      </c>
      <c r="H98" s="1">
        <v>44150</v>
      </c>
      <c r="I98" t="s">
        <v>60</v>
      </c>
      <c r="J98" t="s">
        <v>61</v>
      </c>
      <c r="K98">
        <v>2020</v>
      </c>
      <c r="L98">
        <v>2569</v>
      </c>
      <c r="M98">
        <v>320</v>
      </c>
      <c r="N98">
        <v>18</v>
      </c>
      <c r="O98">
        <v>46242</v>
      </c>
      <c r="P98">
        <v>0</v>
      </c>
      <c r="Q98">
        <v>46242</v>
      </c>
      <c r="R98">
        <v>25.692</v>
      </c>
      <c r="S98">
        <v>822080</v>
      </c>
      <c r="T98">
        <v>-775838</v>
      </c>
    </row>
    <row r="99" spans="1:20" x14ac:dyDescent="0.35">
      <c r="A99" t="s">
        <v>29</v>
      </c>
      <c r="B99" t="s">
        <v>84</v>
      </c>
      <c r="C99" t="s">
        <v>102</v>
      </c>
      <c r="D99" t="s">
        <v>168</v>
      </c>
      <c r="E99" t="s">
        <v>104</v>
      </c>
      <c r="F99" t="s">
        <v>169</v>
      </c>
      <c r="G99" t="s">
        <v>26</v>
      </c>
      <c r="H99" s="1">
        <v>44191</v>
      </c>
      <c r="I99" t="s">
        <v>64</v>
      </c>
      <c r="J99" t="s">
        <v>61</v>
      </c>
      <c r="K99">
        <v>2020</v>
      </c>
      <c r="L99">
        <v>738</v>
      </c>
      <c r="M99">
        <v>320</v>
      </c>
      <c r="N99">
        <v>23</v>
      </c>
      <c r="O99">
        <v>16974</v>
      </c>
      <c r="P99">
        <v>0</v>
      </c>
      <c r="Q99">
        <v>16974</v>
      </c>
      <c r="R99">
        <v>9.2249999999999996</v>
      </c>
      <c r="S99">
        <v>236160</v>
      </c>
      <c r="T99">
        <v>-219186</v>
      </c>
    </row>
    <row r="100" spans="1:20" x14ac:dyDescent="0.35">
      <c r="A100" t="s">
        <v>37</v>
      </c>
      <c r="B100" t="s">
        <v>38</v>
      </c>
      <c r="C100" t="s">
        <v>31</v>
      </c>
      <c r="D100" t="s">
        <v>117</v>
      </c>
      <c r="E100" t="s">
        <v>33</v>
      </c>
      <c r="F100" t="s">
        <v>118</v>
      </c>
      <c r="G100" t="s">
        <v>59</v>
      </c>
      <c r="H100" s="1">
        <v>44097</v>
      </c>
      <c r="I100" t="s">
        <v>27</v>
      </c>
      <c r="J100" t="s">
        <v>28</v>
      </c>
      <c r="K100">
        <v>2020</v>
      </c>
      <c r="L100">
        <v>4734</v>
      </c>
      <c r="M100">
        <v>12</v>
      </c>
      <c r="N100">
        <v>11</v>
      </c>
      <c r="O100">
        <v>52074</v>
      </c>
      <c r="P100">
        <v>520.7399999999999</v>
      </c>
      <c r="Q100">
        <v>51553.26</v>
      </c>
      <c r="R100">
        <v>27.338850000000001</v>
      </c>
      <c r="S100">
        <v>56808</v>
      </c>
      <c r="T100">
        <v>-5254.739999999998</v>
      </c>
    </row>
    <row r="101" spans="1:20" x14ac:dyDescent="0.35">
      <c r="A101" t="s">
        <v>29</v>
      </c>
      <c r="B101" t="s">
        <v>30</v>
      </c>
      <c r="C101" t="s">
        <v>31</v>
      </c>
      <c r="D101" t="s">
        <v>32</v>
      </c>
      <c r="E101" t="s">
        <v>33</v>
      </c>
      <c r="F101" t="s">
        <v>34</v>
      </c>
      <c r="G101" t="s">
        <v>59</v>
      </c>
      <c r="H101" s="1">
        <v>44181</v>
      </c>
      <c r="I101" t="s">
        <v>64</v>
      </c>
      <c r="J101" t="s">
        <v>61</v>
      </c>
      <c r="K101">
        <v>2020</v>
      </c>
      <c r="L101">
        <v>2755</v>
      </c>
      <c r="M101">
        <v>12</v>
      </c>
      <c r="N101">
        <v>23</v>
      </c>
      <c r="O101">
        <v>63365</v>
      </c>
      <c r="P101">
        <v>633.64999999999986</v>
      </c>
      <c r="Q101">
        <v>62731.35</v>
      </c>
      <c r="R101">
        <v>34.095599999999997</v>
      </c>
      <c r="S101">
        <v>33060</v>
      </c>
      <c r="T101">
        <v>29671.35</v>
      </c>
    </row>
    <row r="102" spans="1:20" x14ac:dyDescent="0.35">
      <c r="A102" t="s">
        <v>37</v>
      </c>
      <c r="B102" t="s">
        <v>84</v>
      </c>
      <c r="C102" t="s">
        <v>43</v>
      </c>
      <c r="D102" t="s">
        <v>131</v>
      </c>
      <c r="E102" t="s">
        <v>45</v>
      </c>
      <c r="F102" t="s">
        <v>132</v>
      </c>
      <c r="G102" t="s">
        <v>59</v>
      </c>
      <c r="H102" s="1">
        <v>44135</v>
      </c>
      <c r="I102" t="s">
        <v>72</v>
      </c>
      <c r="J102" t="s">
        <v>61</v>
      </c>
      <c r="K102">
        <v>2020</v>
      </c>
      <c r="L102">
        <v>767</v>
      </c>
      <c r="M102">
        <v>148</v>
      </c>
      <c r="N102">
        <v>11</v>
      </c>
      <c r="O102">
        <v>8437</v>
      </c>
      <c r="P102">
        <v>84.36999999999999</v>
      </c>
      <c r="Q102">
        <v>8352.6299999999992</v>
      </c>
      <c r="R102">
        <v>4.4282700000000004</v>
      </c>
      <c r="S102">
        <v>113516</v>
      </c>
      <c r="T102">
        <v>-105163.37</v>
      </c>
    </row>
    <row r="103" spans="1:20" x14ac:dyDescent="0.35">
      <c r="A103" t="s">
        <v>37</v>
      </c>
      <c r="B103" t="s">
        <v>30</v>
      </c>
      <c r="C103" t="s">
        <v>55</v>
      </c>
      <c r="D103" t="s">
        <v>206</v>
      </c>
      <c r="E103" t="s">
        <v>57</v>
      </c>
      <c r="F103" t="s">
        <v>207</v>
      </c>
      <c r="G103" t="s">
        <v>59</v>
      </c>
      <c r="H103" s="1">
        <v>44009</v>
      </c>
      <c r="I103" t="s">
        <v>144</v>
      </c>
      <c r="J103" t="s">
        <v>78</v>
      </c>
      <c r="K103">
        <v>2020</v>
      </c>
      <c r="L103">
        <v>1452</v>
      </c>
      <c r="M103">
        <v>4</v>
      </c>
      <c r="N103">
        <v>525</v>
      </c>
      <c r="O103">
        <v>762300</v>
      </c>
      <c r="P103">
        <v>7623</v>
      </c>
      <c r="Q103">
        <v>754677</v>
      </c>
      <c r="R103">
        <v>419.26499999999999</v>
      </c>
      <c r="S103">
        <v>5808</v>
      </c>
      <c r="T103">
        <v>748869</v>
      </c>
    </row>
    <row r="104" spans="1:20" x14ac:dyDescent="0.35">
      <c r="A104" t="s">
        <v>37</v>
      </c>
      <c r="B104" t="s">
        <v>21</v>
      </c>
      <c r="C104" t="s">
        <v>55</v>
      </c>
      <c r="D104" t="s">
        <v>125</v>
      </c>
      <c r="E104" t="s">
        <v>57</v>
      </c>
      <c r="F104" t="s">
        <v>126</v>
      </c>
      <c r="G104" t="s">
        <v>59</v>
      </c>
      <c r="H104" s="1">
        <v>44063</v>
      </c>
      <c r="I104" t="s">
        <v>41</v>
      </c>
      <c r="J104" t="s">
        <v>28</v>
      </c>
      <c r="K104">
        <v>2020</v>
      </c>
      <c r="L104">
        <v>3035</v>
      </c>
      <c r="M104">
        <v>4</v>
      </c>
      <c r="N104">
        <v>11</v>
      </c>
      <c r="O104">
        <v>33385</v>
      </c>
      <c r="P104">
        <v>333.85</v>
      </c>
      <c r="Q104">
        <v>33051.15</v>
      </c>
      <c r="R104">
        <v>17.525970000000001</v>
      </c>
      <c r="S104">
        <v>12140</v>
      </c>
      <c r="T104">
        <v>20911.150000000001</v>
      </c>
    </row>
    <row r="105" spans="1:20" x14ac:dyDescent="0.35">
      <c r="A105" t="s">
        <v>79</v>
      </c>
      <c r="B105" t="s">
        <v>38</v>
      </c>
      <c r="C105" t="s">
        <v>55</v>
      </c>
      <c r="D105" t="s">
        <v>208</v>
      </c>
      <c r="E105" t="s">
        <v>57</v>
      </c>
      <c r="F105" t="s">
        <v>209</v>
      </c>
      <c r="G105" t="s">
        <v>59</v>
      </c>
      <c r="H105" s="1">
        <v>44053</v>
      </c>
      <c r="I105" t="s">
        <v>41</v>
      </c>
      <c r="J105" t="s">
        <v>28</v>
      </c>
      <c r="K105">
        <v>2020</v>
      </c>
      <c r="L105">
        <v>1734</v>
      </c>
      <c r="M105">
        <v>4</v>
      </c>
      <c r="N105">
        <v>18</v>
      </c>
      <c r="O105">
        <v>31212</v>
      </c>
      <c r="P105">
        <v>312.12</v>
      </c>
      <c r="Q105">
        <v>30899.88</v>
      </c>
      <c r="R105">
        <v>17.166599999999999</v>
      </c>
      <c r="S105">
        <v>6936</v>
      </c>
      <c r="T105">
        <v>23963.88</v>
      </c>
    </row>
    <row r="106" spans="1:20" x14ac:dyDescent="0.35">
      <c r="A106" t="s">
        <v>37</v>
      </c>
      <c r="B106" t="s">
        <v>30</v>
      </c>
      <c r="C106" t="s">
        <v>55</v>
      </c>
      <c r="D106" t="s">
        <v>206</v>
      </c>
      <c r="E106" t="s">
        <v>57</v>
      </c>
      <c r="F106" t="s">
        <v>207</v>
      </c>
      <c r="G106" t="s">
        <v>59</v>
      </c>
      <c r="H106" s="1">
        <v>44046</v>
      </c>
      <c r="I106" t="s">
        <v>41</v>
      </c>
      <c r="J106" t="s">
        <v>28</v>
      </c>
      <c r="K106">
        <v>2020</v>
      </c>
      <c r="L106">
        <v>1676</v>
      </c>
      <c r="M106">
        <v>4</v>
      </c>
      <c r="N106">
        <v>525</v>
      </c>
      <c r="O106">
        <v>879900</v>
      </c>
      <c r="P106">
        <v>8799</v>
      </c>
      <c r="Q106">
        <v>871101</v>
      </c>
      <c r="R106">
        <v>484.06049999999999</v>
      </c>
      <c r="S106">
        <v>6704</v>
      </c>
      <c r="T106">
        <v>864397</v>
      </c>
    </row>
    <row r="107" spans="1:20" x14ac:dyDescent="0.35">
      <c r="A107" t="s">
        <v>37</v>
      </c>
      <c r="B107" t="s">
        <v>65</v>
      </c>
      <c r="C107" t="s">
        <v>55</v>
      </c>
      <c r="D107" t="s">
        <v>70</v>
      </c>
      <c r="E107" t="s">
        <v>57</v>
      </c>
      <c r="F107" t="s">
        <v>71</v>
      </c>
      <c r="G107" t="s">
        <v>59</v>
      </c>
      <c r="H107" s="1">
        <v>43927</v>
      </c>
      <c r="I107" t="s">
        <v>112</v>
      </c>
      <c r="J107" t="s">
        <v>78</v>
      </c>
      <c r="K107">
        <v>2020</v>
      </c>
      <c r="L107">
        <v>2586</v>
      </c>
      <c r="M107">
        <v>4</v>
      </c>
      <c r="N107">
        <v>525</v>
      </c>
      <c r="O107">
        <v>1357650</v>
      </c>
      <c r="P107">
        <v>13576.5</v>
      </c>
      <c r="Q107">
        <v>1344073.5</v>
      </c>
      <c r="R107">
        <v>746.70749999999998</v>
      </c>
      <c r="S107">
        <v>10344</v>
      </c>
      <c r="T107">
        <v>1333729.5</v>
      </c>
    </row>
    <row r="108" spans="1:20" x14ac:dyDescent="0.35">
      <c r="A108" t="s">
        <v>29</v>
      </c>
      <c r="B108" t="s">
        <v>47</v>
      </c>
      <c r="C108" t="s">
        <v>22</v>
      </c>
      <c r="D108" t="s">
        <v>194</v>
      </c>
      <c r="E108" t="s">
        <v>24</v>
      </c>
      <c r="F108" t="s">
        <v>195</v>
      </c>
      <c r="G108" t="s">
        <v>59</v>
      </c>
      <c r="H108" s="1">
        <v>43845</v>
      </c>
      <c r="I108" t="s">
        <v>35</v>
      </c>
      <c r="J108" t="s">
        <v>36</v>
      </c>
      <c r="K108">
        <v>2020</v>
      </c>
      <c r="L108">
        <v>2657</v>
      </c>
      <c r="M108">
        <v>6</v>
      </c>
      <c r="N108">
        <v>23</v>
      </c>
      <c r="O108">
        <v>61111</v>
      </c>
      <c r="P108">
        <v>611.11</v>
      </c>
      <c r="Q108">
        <v>60499.89</v>
      </c>
      <c r="R108">
        <v>32.877900000000004</v>
      </c>
      <c r="S108">
        <v>15942</v>
      </c>
      <c r="T108">
        <v>44557.89</v>
      </c>
    </row>
    <row r="109" spans="1:20" x14ac:dyDescent="0.35">
      <c r="A109" t="s">
        <v>53</v>
      </c>
      <c r="B109" t="s">
        <v>38</v>
      </c>
      <c r="C109" t="s">
        <v>22</v>
      </c>
      <c r="D109" t="s">
        <v>62</v>
      </c>
      <c r="E109" t="s">
        <v>24</v>
      </c>
      <c r="F109" t="s">
        <v>63</v>
      </c>
      <c r="G109" t="s">
        <v>59</v>
      </c>
      <c r="H109" s="1">
        <v>44163</v>
      </c>
      <c r="I109" t="s">
        <v>60</v>
      </c>
      <c r="J109" t="s">
        <v>61</v>
      </c>
      <c r="K109">
        <v>2020</v>
      </c>
      <c r="L109">
        <v>2761</v>
      </c>
      <c r="M109">
        <v>6</v>
      </c>
      <c r="N109">
        <v>450</v>
      </c>
      <c r="O109">
        <v>1242450</v>
      </c>
      <c r="P109">
        <v>12424.5</v>
      </c>
      <c r="Q109">
        <v>1230025.5</v>
      </c>
      <c r="R109">
        <v>683.39700000000005</v>
      </c>
      <c r="S109">
        <v>16566</v>
      </c>
      <c r="T109">
        <v>1213459.5</v>
      </c>
    </row>
    <row r="110" spans="1:20" x14ac:dyDescent="0.35">
      <c r="A110" t="s">
        <v>37</v>
      </c>
      <c r="B110" t="s">
        <v>54</v>
      </c>
      <c r="C110" t="s">
        <v>22</v>
      </c>
      <c r="D110" t="s">
        <v>96</v>
      </c>
      <c r="E110" t="s">
        <v>24</v>
      </c>
      <c r="F110" t="s">
        <v>97</v>
      </c>
      <c r="G110" t="s">
        <v>59</v>
      </c>
      <c r="H110" s="1">
        <v>44050</v>
      </c>
      <c r="I110" t="s">
        <v>41</v>
      </c>
      <c r="J110" t="s">
        <v>28</v>
      </c>
      <c r="K110">
        <v>2020</v>
      </c>
      <c r="L110">
        <v>2196</v>
      </c>
      <c r="M110">
        <v>6</v>
      </c>
      <c r="N110">
        <v>11</v>
      </c>
      <c r="O110">
        <v>24156</v>
      </c>
      <c r="P110">
        <v>241.56</v>
      </c>
      <c r="Q110">
        <v>23914.44</v>
      </c>
      <c r="R110">
        <v>12.681899999999999</v>
      </c>
      <c r="S110">
        <v>13176</v>
      </c>
      <c r="T110">
        <v>10738.439999999999</v>
      </c>
    </row>
    <row r="111" spans="1:20" x14ac:dyDescent="0.35">
      <c r="A111" t="s">
        <v>37</v>
      </c>
      <c r="B111" t="s">
        <v>54</v>
      </c>
      <c r="C111" t="s">
        <v>31</v>
      </c>
      <c r="D111" t="s">
        <v>183</v>
      </c>
      <c r="E111" t="s">
        <v>33</v>
      </c>
      <c r="F111" t="s">
        <v>184</v>
      </c>
      <c r="G111" t="s">
        <v>59</v>
      </c>
      <c r="H111" s="1">
        <v>43878</v>
      </c>
      <c r="I111" t="s">
        <v>52</v>
      </c>
      <c r="J111" t="s">
        <v>36</v>
      </c>
      <c r="K111">
        <v>2020</v>
      </c>
      <c r="L111">
        <v>5391</v>
      </c>
      <c r="M111">
        <v>12</v>
      </c>
      <c r="N111">
        <v>11</v>
      </c>
      <c r="O111">
        <v>59301</v>
      </c>
      <c r="P111">
        <v>593.01</v>
      </c>
      <c r="Q111">
        <v>58707.99</v>
      </c>
      <c r="R111">
        <v>31.133024999999996</v>
      </c>
      <c r="S111">
        <v>64692</v>
      </c>
      <c r="T111">
        <v>-5984.010000000002</v>
      </c>
    </row>
    <row r="112" spans="1:20" x14ac:dyDescent="0.35">
      <c r="A112" t="s">
        <v>20</v>
      </c>
      <c r="B112" t="s">
        <v>54</v>
      </c>
      <c r="C112" t="s">
        <v>31</v>
      </c>
      <c r="D112" t="s">
        <v>115</v>
      </c>
      <c r="E112" t="s">
        <v>33</v>
      </c>
      <c r="F112" t="s">
        <v>116</v>
      </c>
      <c r="G112" t="s">
        <v>59</v>
      </c>
      <c r="H112" s="1">
        <v>44006</v>
      </c>
      <c r="I112" t="s">
        <v>144</v>
      </c>
      <c r="J112" t="s">
        <v>78</v>
      </c>
      <c r="K112">
        <v>2020</v>
      </c>
      <c r="L112">
        <v>944</v>
      </c>
      <c r="M112">
        <v>12</v>
      </c>
      <c r="N112">
        <v>188</v>
      </c>
      <c r="O112">
        <v>177472</v>
      </c>
      <c r="P112">
        <v>1774.72</v>
      </c>
      <c r="Q112">
        <v>175697.28</v>
      </c>
      <c r="R112">
        <v>97.391249999999999</v>
      </c>
      <c r="S112">
        <v>11328</v>
      </c>
      <c r="T112">
        <v>164369.28</v>
      </c>
    </row>
    <row r="113" spans="1:20" x14ac:dyDescent="0.35">
      <c r="A113" t="s">
        <v>29</v>
      </c>
      <c r="B113" t="s">
        <v>84</v>
      </c>
      <c r="C113" t="s">
        <v>31</v>
      </c>
      <c r="D113" t="s">
        <v>210</v>
      </c>
      <c r="E113" t="s">
        <v>33</v>
      </c>
      <c r="F113" t="s">
        <v>211</v>
      </c>
      <c r="G113" t="s">
        <v>59</v>
      </c>
      <c r="H113" s="1">
        <v>43990</v>
      </c>
      <c r="I113" t="s">
        <v>144</v>
      </c>
      <c r="J113" t="s">
        <v>78</v>
      </c>
      <c r="K113">
        <v>2020</v>
      </c>
      <c r="L113">
        <v>896</v>
      </c>
      <c r="M113">
        <v>12</v>
      </c>
      <c r="N113">
        <v>23</v>
      </c>
      <c r="O113">
        <v>20608</v>
      </c>
      <c r="P113">
        <v>206.08</v>
      </c>
      <c r="Q113">
        <v>20401.919999999998</v>
      </c>
      <c r="R113">
        <v>11.09295</v>
      </c>
      <c r="S113">
        <v>10752</v>
      </c>
      <c r="T113">
        <v>9649.9199999999983</v>
      </c>
    </row>
    <row r="114" spans="1:20" x14ac:dyDescent="0.35">
      <c r="A114" t="s">
        <v>37</v>
      </c>
      <c r="B114" t="s">
        <v>84</v>
      </c>
      <c r="C114" t="s">
        <v>43</v>
      </c>
      <c r="D114" t="s">
        <v>131</v>
      </c>
      <c r="E114" t="s">
        <v>45</v>
      </c>
      <c r="F114" t="s">
        <v>132</v>
      </c>
      <c r="G114" t="s">
        <v>59</v>
      </c>
      <c r="H114" s="1">
        <v>44117</v>
      </c>
      <c r="I114" t="s">
        <v>72</v>
      </c>
      <c r="J114" t="s">
        <v>61</v>
      </c>
      <c r="K114">
        <v>2020</v>
      </c>
      <c r="L114">
        <v>4637</v>
      </c>
      <c r="M114">
        <v>148</v>
      </c>
      <c r="N114">
        <v>30</v>
      </c>
      <c r="O114">
        <v>139110</v>
      </c>
      <c r="P114">
        <v>1391.1000000000001</v>
      </c>
      <c r="Q114">
        <v>137718.9</v>
      </c>
      <c r="R114">
        <v>76.507200000000012</v>
      </c>
      <c r="S114">
        <v>686276</v>
      </c>
      <c r="T114">
        <v>-548557.1</v>
      </c>
    </row>
    <row r="115" spans="1:20" x14ac:dyDescent="0.35">
      <c r="A115" t="s">
        <v>37</v>
      </c>
      <c r="B115" t="s">
        <v>42</v>
      </c>
      <c r="C115" t="s">
        <v>48</v>
      </c>
      <c r="D115" t="s">
        <v>121</v>
      </c>
      <c r="E115" t="s">
        <v>50</v>
      </c>
      <c r="F115" t="s">
        <v>122</v>
      </c>
      <c r="G115" t="s">
        <v>59</v>
      </c>
      <c r="H115" s="1">
        <v>44095</v>
      </c>
      <c r="I115" t="s">
        <v>27</v>
      </c>
      <c r="J115" t="s">
        <v>28</v>
      </c>
      <c r="K115">
        <v>2020</v>
      </c>
      <c r="L115">
        <v>1132</v>
      </c>
      <c r="M115">
        <v>308</v>
      </c>
      <c r="N115">
        <v>525</v>
      </c>
      <c r="O115">
        <v>594300</v>
      </c>
      <c r="P115">
        <v>5943</v>
      </c>
      <c r="Q115">
        <v>588357</v>
      </c>
      <c r="R115">
        <v>326.92275000000001</v>
      </c>
      <c r="S115">
        <v>348656</v>
      </c>
      <c r="T115">
        <v>239701</v>
      </c>
    </row>
    <row r="116" spans="1:20" x14ac:dyDescent="0.35">
      <c r="A116" t="s">
        <v>20</v>
      </c>
      <c r="B116" t="s">
        <v>65</v>
      </c>
      <c r="C116" t="s">
        <v>48</v>
      </c>
      <c r="D116" t="s">
        <v>212</v>
      </c>
      <c r="E116" t="s">
        <v>50</v>
      </c>
      <c r="F116" t="s">
        <v>126</v>
      </c>
      <c r="G116" t="s">
        <v>59</v>
      </c>
      <c r="H116" s="1">
        <v>43951</v>
      </c>
      <c r="I116" t="s">
        <v>112</v>
      </c>
      <c r="J116" t="s">
        <v>78</v>
      </c>
      <c r="K116">
        <v>2020</v>
      </c>
      <c r="L116">
        <v>872</v>
      </c>
      <c r="M116">
        <v>308</v>
      </c>
      <c r="N116">
        <v>188</v>
      </c>
      <c r="O116">
        <v>163936</v>
      </c>
      <c r="P116">
        <v>1639.3600000000001</v>
      </c>
      <c r="Q116">
        <v>162296.64000000001</v>
      </c>
      <c r="R116">
        <v>89.966250000000002</v>
      </c>
      <c r="S116">
        <v>268576</v>
      </c>
      <c r="T116">
        <v>-106279.35999999999</v>
      </c>
    </row>
    <row r="117" spans="1:20" x14ac:dyDescent="0.35">
      <c r="A117" t="s">
        <v>20</v>
      </c>
      <c r="B117" t="s">
        <v>84</v>
      </c>
      <c r="C117" t="s">
        <v>48</v>
      </c>
      <c r="D117" t="s">
        <v>213</v>
      </c>
      <c r="E117" t="s">
        <v>50</v>
      </c>
      <c r="F117" t="s">
        <v>167</v>
      </c>
      <c r="G117" t="s">
        <v>59</v>
      </c>
      <c r="H117" s="1">
        <v>43978</v>
      </c>
      <c r="I117" t="s">
        <v>77</v>
      </c>
      <c r="J117" t="s">
        <v>78</v>
      </c>
      <c r="K117">
        <v>2020</v>
      </c>
      <c r="L117">
        <v>944</v>
      </c>
      <c r="M117">
        <v>308</v>
      </c>
      <c r="N117">
        <v>188</v>
      </c>
      <c r="O117">
        <v>177472</v>
      </c>
      <c r="P117">
        <v>1774.72</v>
      </c>
      <c r="Q117">
        <v>175697.28</v>
      </c>
      <c r="R117">
        <v>97.391249999999999</v>
      </c>
      <c r="S117">
        <v>290752</v>
      </c>
      <c r="T117">
        <v>-115054.72</v>
      </c>
    </row>
    <row r="118" spans="1:20" x14ac:dyDescent="0.35">
      <c r="A118" t="s">
        <v>20</v>
      </c>
      <c r="B118" t="s">
        <v>84</v>
      </c>
      <c r="C118" t="s">
        <v>48</v>
      </c>
      <c r="D118" t="s">
        <v>213</v>
      </c>
      <c r="E118" t="s">
        <v>50</v>
      </c>
      <c r="F118" t="s">
        <v>167</v>
      </c>
      <c r="G118" t="s">
        <v>59</v>
      </c>
      <c r="H118" s="1">
        <v>44095</v>
      </c>
      <c r="I118" t="s">
        <v>27</v>
      </c>
      <c r="J118" t="s">
        <v>28</v>
      </c>
      <c r="K118">
        <v>2020</v>
      </c>
      <c r="L118">
        <v>2093</v>
      </c>
      <c r="M118">
        <v>308</v>
      </c>
      <c r="N118">
        <v>188</v>
      </c>
      <c r="O118">
        <v>393484</v>
      </c>
      <c r="P118">
        <v>3934.84</v>
      </c>
      <c r="Q118">
        <v>389549.16</v>
      </c>
      <c r="R118">
        <v>215.82</v>
      </c>
      <c r="S118">
        <v>644644</v>
      </c>
      <c r="T118">
        <v>-255094.84000000003</v>
      </c>
    </row>
    <row r="119" spans="1:20" x14ac:dyDescent="0.35">
      <c r="A119" t="s">
        <v>79</v>
      </c>
      <c r="B119" t="s">
        <v>38</v>
      </c>
      <c r="C119" t="s">
        <v>55</v>
      </c>
      <c r="D119" t="s">
        <v>208</v>
      </c>
      <c r="E119" t="s">
        <v>57</v>
      </c>
      <c r="F119" t="s">
        <v>209</v>
      </c>
      <c r="G119" t="s">
        <v>59</v>
      </c>
      <c r="H119" s="1">
        <v>43954</v>
      </c>
      <c r="I119" t="s">
        <v>77</v>
      </c>
      <c r="J119" t="s">
        <v>78</v>
      </c>
      <c r="K119">
        <v>2020</v>
      </c>
      <c r="L119">
        <v>1554</v>
      </c>
      <c r="M119">
        <v>4</v>
      </c>
      <c r="N119">
        <v>18</v>
      </c>
      <c r="O119">
        <v>27972</v>
      </c>
      <c r="P119">
        <v>559.44000000000005</v>
      </c>
      <c r="Q119">
        <v>27412.560000000001</v>
      </c>
      <c r="R119">
        <v>15.229200000000001</v>
      </c>
      <c r="S119">
        <v>6216</v>
      </c>
      <c r="T119">
        <v>21196.560000000001</v>
      </c>
    </row>
    <row r="120" spans="1:20" x14ac:dyDescent="0.35">
      <c r="A120" t="s">
        <v>37</v>
      </c>
      <c r="B120" t="s">
        <v>30</v>
      </c>
      <c r="C120" t="s">
        <v>55</v>
      </c>
      <c r="D120" t="s">
        <v>189</v>
      </c>
      <c r="E120" t="s">
        <v>57</v>
      </c>
      <c r="F120" t="s">
        <v>128</v>
      </c>
      <c r="G120" t="s">
        <v>59</v>
      </c>
      <c r="H120" s="1">
        <v>44032</v>
      </c>
      <c r="I120" t="s">
        <v>89</v>
      </c>
      <c r="J120" t="s">
        <v>28</v>
      </c>
      <c r="K120">
        <v>2020</v>
      </c>
      <c r="L120">
        <v>3422</v>
      </c>
      <c r="M120">
        <v>4</v>
      </c>
      <c r="N120">
        <v>525</v>
      </c>
      <c r="O120">
        <v>1796550</v>
      </c>
      <c r="P120">
        <v>35931</v>
      </c>
      <c r="Q120">
        <v>1760619</v>
      </c>
      <c r="R120">
        <v>978.23599999999999</v>
      </c>
      <c r="S120">
        <v>13688</v>
      </c>
      <c r="T120">
        <v>1746931</v>
      </c>
    </row>
    <row r="121" spans="1:20" x14ac:dyDescent="0.35">
      <c r="A121" t="s">
        <v>37</v>
      </c>
      <c r="B121" t="s">
        <v>54</v>
      </c>
      <c r="C121" t="s">
        <v>22</v>
      </c>
      <c r="D121" t="s">
        <v>214</v>
      </c>
      <c r="E121" t="s">
        <v>24</v>
      </c>
      <c r="F121" t="s">
        <v>215</v>
      </c>
      <c r="G121" t="s">
        <v>59</v>
      </c>
      <c r="H121" s="1">
        <v>44029</v>
      </c>
      <c r="I121" t="s">
        <v>89</v>
      </c>
      <c r="J121" t="s">
        <v>28</v>
      </c>
      <c r="K121">
        <v>2020</v>
      </c>
      <c r="L121">
        <v>1879</v>
      </c>
      <c r="M121">
        <v>6</v>
      </c>
      <c r="N121">
        <v>30</v>
      </c>
      <c r="O121">
        <v>56370</v>
      </c>
      <c r="P121">
        <v>1127.4000000000001</v>
      </c>
      <c r="Q121">
        <v>55242.6</v>
      </c>
      <c r="R121">
        <v>30.6936</v>
      </c>
      <c r="S121">
        <v>11274</v>
      </c>
      <c r="T121">
        <v>43968.6</v>
      </c>
    </row>
    <row r="122" spans="1:20" x14ac:dyDescent="0.35">
      <c r="A122" t="s">
        <v>53</v>
      </c>
      <c r="B122" t="s">
        <v>21</v>
      </c>
      <c r="C122" t="s">
        <v>31</v>
      </c>
      <c r="D122" t="s">
        <v>216</v>
      </c>
      <c r="E122" t="s">
        <v>33</v>
      </c>
      <c r="F122" t="s">
        <v>217</v>
      </c>
      <c r="G122" t="s">
        <v>59</v>
      </c>
      <c r="H122" s="1">
        <v>43984</v>
      </c>
      <c r="I122" t="s">
        <v>144</v>
      </c>
      <c r="J122" t="s">
        <v>78</v>
      </c>
      <c r="K122">
        <v>2020</v>
      </c>
      <c r="L122">
        <v>1102</v>
      </c>
      <c r="M122">
        <v>12</v>
      </c>
      <c r="N122">
        <v>450</v>
      </c>
      <c r="O122">
        <v>495900</v>
      </c>
      <c r="P122">
        <v>9918</v>
      </c>
      <c r="Q122">
        <v>485982</v>
      </c>
      <c r="R122">
        <v>269.892</v>
      </c>
      <c r="S122">
        <v>13224</v>
      </c>
      <c r="T122">
        <v>472758</v>
      </c>
    </row>
    <row r="123" spans="1:20" x14ac:dyDescent="0.35">
      <c r="A123" t="s">
        <v>53</v>
      </c>
      <c r="B123" t="s">
        <v>65</v>
      </c>
      <c r="C123" t="s">
        <v>31</v>
      </c>
      <c r="D123" t="s">
        <v>143</v>
      </c>
      <c r="E123" t="s">
        <v>33</v>
      </c>
      <c r="F123" t="s">
        <v>126</v>
      </c>
      <c r="G123" t="s">
        <v>59</v>
      </c>
      <c r="H123" s="1">
        <v>44041</v>
      </c>
      <c r="I123" t="s">
        <v>89</v>
      </c>
      <c r="J123" t="s">
        <v>28</v>
      </c>
      <c r="K123">
        <v>2020</v>
      </c>
      <c r="L123">
        <v>2074</v>
      </c>
      <c r="M123">
        <v>12</v>
      </c>
      <c r="N123">
        <v>450</v>
      </c>
      <c r="O123">
        <v>933300</v>
      </c>
      <c r="P123">
        <v>18666</v>
      </c>
      <c r="Q123">
        <v>914634</v>
      </c>
      <c r="R123">
        <v>508.03199999999998</v>
      </c>
      <c r="S123">
        <v>24888</v>
      </c>
      <c r="T123">
        <v>889746</v>
      </c>
    </row>
    <row r="124" spans="1:20" x14ac:dyDescent="0.35">
      <c r="A124" t="s">
        <v>79</v>
      </c>
      <c r="B124" t="s">
        <v>65</v>
      </c>
      <c r="C124" t="s">
        <v>31</v>
      </c>
      <c r="D124" t="s">
        <v>218</v>
      </c>
      <c r="E124" t="s">
        <v>33</v>
      </c>
      <c r="F124" t="s">
        <v>219</v>
      </c>
      <c r="G124" t="s">
        <v>59</v>
      </c>
      <c r="H124" s="1">
        <v>43971</v>
      </c>
      <c r="I124" t="s">
        <v>77</v>
      </c>
      <c r="J124" t="s">
        <v>78</v>
      </c>
      <c r="K124">
        <v>2020</v>
      </c>
      <c r="L124">
        <v>1370</v>
      </c>
      <c r="M124">
        <v>12</v>
      </c>
      <c r="N124">
        <v>18</v>
      </c>
      <c r="O124">
        <v>24660</v>
      </c>
      <c r="P124">
        <v>493.2</v>
      </c>
      <c r="Q124">
        <v>24166.799999999999</v>
      </c>
      <c r="R124">
        <v>13.429919999999999</v>
      </c>
      <c r="S124">
        <v>16440</v>
      </c>
      <c r="T124">
        <v>7726.7999999999993</v>
      </c>
    </row>
    <row r="125" spans="1:20" x14ac:dyDescent="0.35">
      <c r="A125" t="s">
        <v>20</v>
      </c>
      <c r="B125" t="s">
        <v>47</v>
      </c>
      <c r="C125" t="s">
        <v>31</v>
      </c>
      <c r="D125" t="s">
        <v>75</v>
      </c>
      <c r="E125" t="s">
        <v>33</v>
      </c>
      <c r="F125" t="s">
        <v>76</v>
      </c>
      <c r="G125" t="s">
        <v>59</v>
      </c>
      <c r="H125" s="1">
        <v>43952</v>
      </c>
      <c r="I125" t="s">
        <v>77</v>
      </c>
      <c r="J125" t="s">
        <v>78</v>
      </c>
      <c r="K125">
        <v>2020</v>
      </c>
      <c r="L125">
        <v>794</v>
      </c>
      <c r="M125">
        <v>12</v>
      </c>
      <c r="N125">
        <v>188</v>
      </c>
      <c r="O125">
        <v>149272</v>
      </c>
      <c r="P125">
        <v>2985.44</v>
      </c>
      <c r="Q125">
        <v>146286.56</v>
      </c>
      <c r="R125">
        <v>81.094999999999999</v>
      </c>
      <c r="S125">
        <v>9528</v>
      </c>
      <c r="T125">
        <v>136758.56</v>
      </c>
    </row>
    <row r="126" spans="1:20" x14ac:dyDescent="0.35">
      <c r="A126" t="s">
        <v>79</v>
      </c>
      <c r="B126" t="s">
        <v>38</v>
      </c>
      <c r="C126" t="s">
        <v>31</v>
      </c>
      <c r="D126" t="s">
        <v>127</v>
      </c>
      <c r="E126" t="s">
        <v>33</v>
      </c>
      <c r="F126" t="s">
        <v>128</v>
      </c>
      <c r="G126" t="s">
        <v>59</v>
      </c>
      <c r="H126" s="1">
        <v>43884</v>
      </c>
      <c r="I126" t="s">
        <v>52</v>
      </c>
      <c r="J126" t="s">
        <v>36</v>
      </c>
      <c r="K126">
        <v>2020</v>
      </c>
      <c r="L126">
        <v>1554</v>
      </c>
      <c r="M126">
        <v>12</v>
      </c>
      <c r="N126">
        <v>18</v>
      </c>
      <c r="O126">
        <v>27972</v>
      </c>
      <c r="P126">
        <v>559.44000000000005</v>
      </c>
      <c r="Q126">
        <v>27412.560000000001</v>
      </c>
      <c r="R126">
        <v>15.229200000000001</v>
      </c>
      <c r="S126">
        <v>18648</v>
      </c>
      <c r="T126">
        <v>8764.5600000000013</v>
      </c>
    </row>
    <row r="127" spans="1:20" x14ac:dyDescent="0.35">
      <c r="A127" t="s">
        <v>53</v>
      </c>
      <c r="B127" t="s">
        <v>84</v>
      </c>
      <c r="C127" t="s">
        <v>31</v>
      </c>
      <c r="D127" t="s">
        <v>220</v>
      </c>
      <c r="E127" t="s">
        <v>33</v>
      </c>
      <c r="F127" t="s">
        <v>221</v>
      </c>
      <c r="G127" t="s">
        <v>59</v>
      </c>
      <c r="H127" s="1">
        <v>44181</v>
      </c>
      <c r="I127" t="s">
        <v>64</v>
      </c>
      <c r="J127" t="s">
        <v>61</v>
      </c>
      <c r="K127">
        <v>2020</v>
      </c>
      <c r="L127">
        <v>2299</v>
      </c>
      <c r="M127">
        <v>12</v>
      </c>
      <c r="N127">
        <v>450</v>
      </c>
      <c r="O127">
        <v>1034550</v>
      </c>
      <c r="P127">
        <v>20691</v>
      </c>
      <c r="Q127">
        <v>1013859</v>
      </c>
      <c r="R127">
        <v>563.30399999999997</v>
      </c>
      <c r="S127">
        <v>27588</v>
      </c>
      <c r="T127">
        <v>986271</v>
      </c>
    </row>
    <row r="128" spans="1:20" x14ac:dyDescent="0.35">
      <c r="A128" t="s">
        <v>37</v>
      </c>
      <c r="B128" t="s">
        <v>38</v>
      </c>
      <c r="C128" t="s">
        <v>31</v>
      </c>
      <c r="D128" t="s">
        <v>39</v>
      </c>
      <c r="E128" t="s">
        <v>33</v>
      </c>
      <c r="F128" t="s">
        <v>40</v>
      </c>
      <c r="G128" t="s">
        <v>59</v>
      </c>
      <c r="H128" s="1">
        <v>43940</v>
      </c>
      <c r="I128" t="s">
        <v>112</v>
      </c>
      <c r="J128" t="s">
        <v>78</v>
      </c>
      <c r="K128">
        <v>2020</v>
      </c>
      <c r="L128">
        <v>3422</v>
      </c>
      <c r="M128">
        <v>12</v>
      </c>
      <c r="N128">
        <v>525</v>
      </c>
      <c r="O128">
        <v>1796550</v>
      </c>
      <c r="P128">
        <v>35931</v>
      </c>
      <c r="Q128">
        <v>1760619</v>
      </c>
      <c r="R128">
        <v>978.23599999999999</v>
      </c>
      <c r="S128">
        <v>41064</v>
      </c>
      <c r="T128">
        <v>1719555</v>
      </c>
    </row>
    <row r="129" spans="1:20" x14ac:dyDescent="0.35">
      <c r="A129" t="s">
        <v>20</v>
      </c>
      <c r="B129" t="s">
        <v>30</v>
      </c>
      <c r="C129" t="s">
        <v>31</v>
      </c>
      <c r="D129" t="s">
        <v>222</v>
      </c>
      <c r="E129" t="s">
        <v>33</v>
      </c>
      <c r="F129" t="s">
        <v>148</v>
      </c>
      <c r="G129" t="s">
        <v>59</v>
      </c>
      <c r="H129" s="1">
        <v>44169</v>
      </c>
      <c r="I129" t="s">
        <v>64</v>
      </c>
      <c r="J129" t="s">
        <v>61</v>
      </c>
      <c r="K129">
        <v>2020</v>
      </c>
      <c r="L129">
        <v>3275</v>
      </c>
      <c r="M129">
        <v>12</v>
      </c>
      <c r="N129">
        <v>188</v>
      </c>
      <c r="O129">
        <v>615700</v>
      </c>
      <c r="P129">
        <v>12314</v>
      </c>
      <c r="Q129">
        <v>603386</v>
      </c>
      <c r="R129">
        <v>334.30250000000001</v>
      </c>
      <c r="S129">
        <v>39300</v>
      </c>
      <c r="T129">
        <v>564086</v>
      </c>
    </row>
    <row r="130" spans="1:20" x14ac:dyDescent="0.35">
      <c r="A130" t="s">
        <v>79</v>
      </c>
      <c r="B130" t="s">
        <v>21</v>
      </c>
      <c r="C130" t="s">
        <v>31</v>
      </c>
      <c r="D130" t="s">
        <v>80</v>
      </c>
      <c r="E130" t="s">
        <v>33</v>
      </c>
      <c r="F130" t="s">
        <v>81</v>
      </c>
      <c r="G130" t="s">
        <v>59</v>
      </c>
      <c r="H130" s="1">
        <v>43867</v>
      </c>
      <c r="I130" t="s">
        <v>52</v>
      </c>
      <c r="J130" t="s">
        <v>36</v>
      </c>
      <c r="K130">
        <v>2020</v>
      </c>
      <c r="L130">
        <v>1266</v>
      </c>
      <c r="M130">
        <v>12</v>
      </c>
      <c r="N130">
        <v>18</v>
      </c>
      <c r="O130">
        <v>22788</v>
      </c>
      <c r="P130">
        <v>455.76</v>
      </c>
      <c r="Q130">
        <v>22332.240000000002</v>
      </c>
      <c r="R130">
        <v>12.406799999999999</v>
      </c>
      <c r="S130">
        <v>15192</v>
      </c>
      <c r="T130">
        <v>7140.2400000000016</v>
      </c>
    </row>
    <row r="131" spans="1:20" x14ac:dyDescent="0.35">
      <c r="A131" t="s">
        <v>79</v>
      </c>
      <c r="B131" t="s">
        <v>54</v>
      </c>
      <c r="C131" t="s">
        <v>43</v>
      </c>
      <c r="D131" t="s">
        <v>223</v>
      </c>
      <c r="E131" t="s">
        <v>45</v>
      </c>
      <c r="F131" t="s">
        <v>215</v>
      </c>
      <c r="G131" t="s">
        <v>59</v>
      </c>
      <c r="H131" s="1">
        <v>44179</v>
      </c>
      <c r="I131" t="s">
        <v>64</v>
      </c>
      <c r="J131" t="s">
        <v>61</v>
      </c>
      <c r="K131">
        <v>2020</v>
      </c>
      <c r="L131">
        <v>1266</v>
      </c>
      <c r="M131">
        <v>148</v>
      </c>
      <c r="N131">
        <v>18</v>
      </c>
      <c r="O131">
        <v>22788</v>
      </c>
      <c r="P131">
        <v>455.76</v>
      </c>
      <c r="Q131">
        <v>22332.240000000002</v>
      </c>
      <c r="R131">
        <v>12.406799999999999</v>
      </c>
      <c r="S131">
        <v>187368</v>
      </c>
      <c r="T131">
        <v>-165035.76</v>
      </c>
    </row>
    <row r="132" spans="1:20" x14ac:dyDescent="0.35">
      <c r="A132" t="s">
        <v>37</v>
      </c>
      <c r="B132" t="s">
        <v>47</v>
      </c>
      <c r="C132" t="s">
        <v>102</v>
      </c>
      <c r="D132" t="s">
        <v>224</v>
      </c>
      <c r="E132" t="s">
        <v>104</v>
      </c>
      <c r="F132" t="s">
        <v>225</v>
      </c>
      <c r="G132" t="s">
        <v>59</v>
      </c>
      <c r="H132" s="1">
        <v>43864</v>
      </c>
      <c r="I132" t="s">
        <v>52</v>
      </c>
      <c r="J132" t="s">
        <v>36</v>
      </c>
      <c r="K132">
        <v>2020</v>
      </c>
      <c r="L132">
        <v>1483</v>
      </c>
      <c r="M132">
        <v>320</v>
      </c>
      <c r="N132">
        <v>30</v>
      </c>
      <c r="O132">
        <v>44490</v>
      </c>
      <c r="P132">
        <v>889.80000000000007</v>
      </c>
      <c r="Q132">
        <v>43600.2</v>
      </c>
      <c r="R132">
        <v>24.2256</v>
      </c>
      <c r="S132">
        <v>474560</v>
      </c>
      <c r="T132">
        <v>-430959.8</v>
      </c>
    </row>
    <row r="133" spans="1:20" x14ac:dyDescent="0.35">
      <c r="A133" t="s">
        <v>20</v>
      </c>
      <c r="B133" t="s">
        <v>65</v>
      </c>
      <c r="C133" t="s">
        <v>55</v>
      </c>
      <c r="D133" t="s">
        <v>175</v>
      </c>
      <c r="E133" t="s">
        <v>57</v>
      </c>
      <c r="F133" t="s">
        <v>176</v>
      </c>
      <c r="G133" t="s">
        <v>59</v>
      </c>
      <c r="H133" s="1">
        <v>43949</v>
      </c>
      <c r="I133" t="s">
        <v>112</v>
      </c>
      <c r="J133" t="s">
        <v>78</v>
      </c>
      <c r="K133">
        <v>2020</v>
      </c>
      <c r="L133">
        <v>5092</v>
      </c>
      <c r="M133">
        <v>4</v>
      </c>
      <c r="N133">
        <v>188</v>
      </c>
      <c r="O133">
        <v>957296</v>
      </c>
      <c r="P133">
        <v>28718.879999999997</v>
      </c>
      <c r="Q133">
        <v>928577.12</v>
      </c>
      <c r="R133">
        <v>514.52437499999996</v>
      </c>
      <c r="S133">
        <v>20368</v>
      </c>
      <c r="T133">
        <v>908209.12</v>
      </c>
    </row>
    <row r="134" spans="1:20" x14ac:dyDescent="0.35">
      <c r="A134" t="s">
        <v>37</v>
      </c>
      <c r="B134" t="s">
        <v>54</v>
      </c>
      <c r="C134" t="s">
        <v>22</v>
      </c>
      <c r="D134" t="s">
        <v>226</v>
      </c>
      <c r="E134" t="s">
        <v>24</v>
      </c>
      <c r="F134" t="s">
        <v>227</v>
      </c>
      <c r="G134" t="s">
        <v>59</v>
      </c>
      <c r="H134" s="1">
        <v>44035</v>
      </c>
      <c r="I134" t="s">
        <v>89</v>
      </c>
      <c r="J134" t="s">
        <v>28</v>
      </c>
      <c r="K134">
        <v>2020</v>
      </c>
      <c r="L134">
        <v>653</v>
      </c>
      <c r="M134">
        <v>6</v>
      </c>
      <c r="N134">
        <v>11</v>
      </c>
      <c r="O134">
        <v>7183</v>
      </c>
      <c r="P134">
        <v>215.48999999999998</v>
      </c>
      <c r="Q134">
        <v>6967.51</v>
      </c>
      <c r="R134">
        <v>3.6937600000000002</v>
      </c>
      <c r="S134">
        <v>3918</v>
      </c>
      <c r="T134">
        <v>3049.51</v>
      </c>
    </row>
    <row r="135" spans="1:20" x14ac:dyDescent="0.35">
      <c r="A135" t="s">
        <v>20</v>
      </c>
      <c r="B135" t="s">
        <v>42</v>
      </c>
      <c r="C135" t="s">
        <v>22</v>
      </c>
      <c r="D135" t="s">
        <v>228</v>
      </c>
      <c r="E135" t="s">
        <v>24</v>
      </c>
      <c r="F135" t="s">
        <v>122</v>
      </c>
      <c r="G135" t="s">
        <v>59</v>
      </c>
      <c r="H135" s="1">
        <v>44101</v>
      </c>
      <c r="I135" t="s">
        <v>27</v>
      </c>
      <c r="J135" t="s">
        <v>28</v>
      </c>
      <c r="K135">
        <v>2020</v>
      </c>
      <c r="L135">
        <v>1544</v>
      </c>
      <c r="M135">
        <v>6</v>
      </c>
      <c r="N135">
        <v>188</v>
      </c>
      <c r="O135">
        <v>290272</v>
      </c>
      <c r="P135">
        <v>8708.16</v>
      </c>
      <c r="Q135">
        <v>281563.84000000003</v>
      </c>
      <c r="R135">
        <v>156.04875000000001</v>
      </c>
      <c r="S135">
        <v>9264</v>
      </c>
      <c r="T135">
        <v>272299.84000000003</v>
      </c>
    </row>
    <row r="136" spans="1:20" x14ac:dyDescent="0.35">
      <c r="A136" t="s">
        <v>20</v>
      </c>
      <c r="B136" t="s">
        <v>38</v>
      </c>
      <c r="C136" t="s">
        <v>22</v>
      </c>
      <c r="D136" t="s">
        <v>141</v>
      </c>
      <c r="E136" t="s">
        <v>24</v>
      </c>
      <c r="F136" t="s">
        <v>142</v>
      </c>
      <c r="G136" t="s">
        <v>59</v>
      </c>
      <c r="H136" s="1">
        <v>43966</v>
      </c>
      <c r="I136" t="s">
        <v>77</v>
      </c>
      <c r="J136" t="s">
        <v>78</v>
      </c>
      <c r="K136">
        <v>2020</v>
      </c>
      <c r="L136">
        <v>2047</v>
      </c>
      <c r="M136">
        <v>6</v>
      </c>
      <c r="N136">
        <v>188</v>
      </c>
      <c r="O136">
        <v>384836</v>
      </c>
      <c r="P136">
        <v>11545.08</v>
      </c>
      <c r="Q136">
        <v>373290.92</v>
      </c>
      <c r="R136">
        <v>206.85249999999999</v>
      </c>
      <c r="S136">
        <v>12282</v>
      </c>
      <c r="T136">
        <v>361008.92</v>
      </c>
    </row>
    <row r="137" spans="1:20" x14ac:dyDescent="0.35">
      <c r="A137" t="s">
        <v>79</v>
      </c>
      <c r="B137" t="s">
        <v>21</v>
      </c>
      <c r="C137" t="s">
        <v>31</v>
      </c>
      <c r="D137" t="s">
        <v>80</v>
      </c>
      <c r="E137" t="s">
        <v>33</v>
      </c>
      <c r="F137" t="s">
        <v>81</v>
      </c>
      <c r="G137" t="s">
        <v>59</v>
      </c>
      <c r="H137" s="1">
        <v>43844</v>
      </c>
      <c r="I137" t="s">
        <v>35</v>
      </c>
      <c r="J137" t="s">
        <v>36</v>
      </c>
      <c r="K137">
        <v>2020</v>
      </c>
      <c r="L137">
        <v>2281</v>
      </c>
      <c r="M137">
        <v>12</v>
      </c>
      <c r="N137">
        <v>18</v>
      </c>
      <c r="O137">
        <v>41058</v>
      </c>
      <c r="P137">
        <v>1231.74</v>
      </c>
      <c r="Q137">
        <v>39826.26</v>
      </c>
      <c r="R137">
        <v>22.12764</v>
      </c>
      <c r="S137">
        <v>27372</v>
      </c>
      <c r="T137">
        <v>12454.260000000002</v>
      </c>
    </row>
    <row r="138" spans="1:20" x14ac:dyDescent="0.35">
      <c r="A138" t="s">
        <v>53</v>
      </c>
      <c r="B138" t="s">
        <v>65</v>
      </c>
      <c r="C138" t="s">
        <v>31</v>
      </c>
      <c r="D138" t="s">
        <v>143</v>
      </c>
      <c r="E138" t="s">
        <v>33</v>
      </c>
      <c r="F138" t="s">
        <v>126</v>
      </c>
      <c r="G138" t="s">
        <v>59</v>
      </c>
      <c r="H138" s="1">
        <v>44179</v>
      </c>
      <c r="I138" t="s">
        <v>64</v>
      </c>
      <c r="J138" t="s">
        <v>61</v>
      </c>
      <c r="K138">
        <v>2020</v>
      </c>
      <c r="L138">
        <v>827</v>
      </c>
      <c r="M138">
        <v>12</v>
      </c>
      <c r="N138">
        <v>450</v>
      </c>
      <c r="O138">
        <v>372150</v>
      </c>
      <c r="P138">
        <v>11164.5</v>
      </c>
      <c r="Q138">
        <v>360985.5</v>
      </c>
      <c r="R138">
        <v>200.499</v>
      </c>
      <c r="S138">
        <v>9924</v>
      </c>
      <c r="T138">
        <v>351061.5</v>
      </c>
    </row>
    <row r="139" spans="1:20" x14ac:dyDescent="0.35">
      <c r="A139" t="s">
        <v>79</v>
      </c>
      <c r="B139" t="s">
        <v>65</v>
      </c>
      <c r="C139" t="s">
        <v>31</v>
      </c>
      <c r="D139" t="s">
        <v>218</v>
      </c>
      <c r="E139" t="s">
        <v>33</v>
      </c>
      <c r="F139" t="s">
        <v>219</v>
      </c>
      <c r="G139" t="s">
        <v>59</v>
      </c>
      <c r="H139" s="1">
        <v>43988</v>
      </c>
      <c r="I139" t="s">
        <v>144</v>
      </c>
      <c r="J139" t="s">
        <v>78</v>
      </c>
      <c r="K139">
        <v>2020</v>
      </c>
      <c r="L139">
        <v>1643</v>
      </c>
      <c r="M139">
        <v>12</v>
      </c>
      <c r="N139">
        <v>18</v>
      </c>
      <c r="O139">
        <v>29574</v>
      </c>
      <c r="P139">
        <v>887.21999999999991</v>
      </c>
      <c r="Q139">
        <v>28686.78</v>
      </c>
      <c r="R139">
        <v>15.94098</v>
      </c>
      <c r="S139">
        <v>19716</v>
      </c>
      <c r="T139">
        <v>8970.7799999999988</v>
      </c>
    </row>
    <row r="140" spans="1:20" x14ac:dyDescent="0.35">
      <c r="A140" t="s">
        <v>20</v>
      </c>
      <c r="B140" t="s">
        <v>30</v>
      </c>
      <c r="C140" t="s">
        <v>31</v>
      </c>
      <c r="D140" t="s">
        <v>222</v>
      </c>
      <c r="E140" t="s">
        <v>33</v>
      </c>
      <c r="F140" t="s">
        <v>148</v>
      </c>
      <c r="G140" t="s">
        <v>59</v>
      </c>
      <c r="H140" s="1">
        <v>43837</v>
      </c>
      <c r="I140" t="s">
        <v>35</v>
      </c>
      <c r="J140" t="s">
        <v>36</v>
      </c>
      <c r="K140">
        <v>2020</v>
      </c>
      <c r="L140">
        <v>2411</v>
      </c>
      <c r="M140">
        <v>12</v>
      </c>
      <c r="N140">
        <v>188</v>
      </c>
      <c r="O140">
        <v>453268</v>
      </c>
      <c r="P140">
        <v>13598.039999999999</v>
      </c>
      <c r="Q140">
        <v>439669.96</v>
      </c>
      <c r="R140">
        <v>243.59125</v>
      </c>
      <c r="S140">
        <v>28932</v>
      </c>
      <c r="T140">
        <v>410737.96</v>
      </c>
    </row>
    <row r="141" spans="1:20" x14ac:dyDescent="0.35">
      <c r="A141" t="s">
        <v>20</v>
      </c>
      <c r="B141" t="s">
        <v>54</v>
      </c>
      <c r="C141" t="s">
        <v>31</v>
      </c>
      <c r="D141" t="s">
        <v>115</v>
      </c>
      <c r="E141" t="s">
        <v>33</v>
      </c>
      <c r="F141" t="s">
        <v>116</v>
      </c>
      <c r="G141" t="s">
        <v>59</v>
      </c>
      <c r="H141" s="1">
        <v>43982</v>
      </c>
      <c r="I141" t="s">
        <v>77</v>
      </c>
      <c r="J141" t="s">
        <v>78</v>
      </c>
      <c r="K141">
        <v>2020</v>
      </c>
      <c r="L141">
        <v>1544</v>
      </c>
      <c r="M141">
        <v>12</v>
      </c>
      <c r="N141">
        <v>188</v>
      </c>
      <c r="O141">
        <v>290272</v>
      </c>
      <c r="P141">
        <v>8708.16</v>
      </c>
      <c r="Q141">
        <v>281563.84000000003</v>
      </c>
      <c r="R141">
        <v>156.04875000000001</v>
      </c>
      <c r="S141">
        <v>18528</v>
      </c>
      <c r="T141">
        <v>263035.84000000003</v>
      </c>
    </row>
    <row r="142" spans="1:20" x14ac:dyDescent="0.35">
      <c r="A142" t="s">
        <v>79</v>
      </c>
      <c r="B142" t="s">
        <v>21</v>
      </c>
      <c r="C142" t="s">
        <v>48</v>
      </c>
      <c r="D142" t="s">
        <v>158</v>
      </c>
      <c r="E142" t="s">
        <v>50</v>
      </c>
      <c r="F142" t="s">
        <v>159</v>
      </c>
      <c r="G142" t="s">
        <v>59</v>
      </c>
      <c r="H142" s="1">
        <v>44097</v>
      </c>
      <c r="I142" t="s">
        <v>27</v>
      </c>
      <c r="J142" t="s">
        <v>28</v>
      </c>
      <c r="K142">
        <v>2020</v>
      </c>
      <c r="L142">
        <v>2299</v>
      </c>
      <c r="M142">
        <v>308</v>
      </c>
      <c r="N142">
        <v>18</v>
      </c>
      <c r="O142">
        <v>41382</v>
      </c>
      <c r="P142">
        <v>1241.46</v>
      </c>
      <c r="Q142">
        <v>40140.54</v>
      </c>
      <c r="R142">
        <v>22.302240000000001</v>
      </c>
      <c r="S142">
        <v>708092</v>
      </c>
      <c r="T142">
        <v>-667951.46</v>
      </c>
    </row>
    <row r="143" spans="1:20" x14ac:dyDescent="0.35">
      <c r="A143" t="s">
        <v>20</v>
      </c>
      <c r="B143" t="s">
        <v>30</v>
      </c>
      <c r="C143" t="s">
        <v>48</v>
      </c>
      <c r="D143" t="s">
        <v>229</v>
      </c>
      <c r="E143" t="s">
        <v>50</v>
      </c>
      <c r="F143" t="s">
        <v>230</v>
      </c>
      <c r="G143" t="s">
        <v>59</v>
      </c>
      <c r="H143" s="1">
        <v>43898</v>
      </c>
      <c r="I143" t="s">
        <v>109</v>
      </c>
      <c r="J143" t="s">
        <v>36</v>
      </c>
      <c r="K143">
        <v>2020</v>
      </c>
      <c r="L143">
        <v>1884</v>
      </c>
      <c r="M143">
        <v>308</v>
      </c>
      <c r="N143">
        <v>188</v>
      </c>
      <c r="O143">
        <v>354192</v>
      </c>
      <c r="P143">
        <v>10625.76</v>
      </c>
      <c r="Q143">
        <v>343566.24</v>
      </c>
      <c r="R143">
        <v>190.36250000000001</v>
      </c>
      <c r="S143">
        <v>580272</v>
      </c>
      <c r="T143">
        <v>-236705.76</v>
      </c>
    </row>
    <row r="144" spans="1:20" x14ac:dyDescent="0.35">
      <c r="A144" t="s">
        <v>53</v>
      </c>
      <c r="B144" t="s">
        <v>42</v>
      </c>
      <c r="C144" t="s">
        <v>48</v>
      </c>
      <c r="D144" t="s">
        <v>135</v>
      </c>
      <c r="E144" t="s">
        <v>50</v>
      </c>
      <c r="F144" t="s">
        <v>136</v>
      </c>
      <c r="G144" t="s">
        <v>59</v>
      </c>
      <c r="H144" s="1">
        <v>43932</v>
      </c>
      <c r="I144" t="s">
        <v>112</v>
      </c>
      <c r="J144" t="s">
        <v>78</v>
      </c>
      <c r="K144">
        <v>2020</v>
      </c>
      <c r="L144">
        <v>2249</v>
      </c>
      <c r="M144">
        <v>308</v>
      </c>
      <c r="N144">
        <v>450</v>
      </c>
      <c r="O144">
        <v>1012050</v>
      </c>
      <c r="P144">
        <v>30361.5</v>
      </c>
      <c r="Q144">
        <v>981688.5</v>
      </c>
      <c r="R144">
        <v>545.33399999999995</v>
      </c>
      <c r="S144">
        <v>692692</v>
      </c>
      <c r="T144">
        <v>288996.5</v>
      </c>
    </row>
    <row r="145" spans="1:20" x14ac:dyDescent="0.35">
      <c r="A145" t="s">
        <v>37</v>
      </c>
      <c r="B145" t="s">
        <v>30</v>
      </c>
      <c r="C145" t="s">
        <v>48</v>
      </c>
      <c r="D145" t="s">
        <v>231</v>
      </c>
      <c r="E145" t="s">
        <v>50</v>
      </c>
      <c r="F145" t="s">
        <v>232</v>
      </c>
      <c r="G145" t="s">
        <v>59</v>
      </c>
      <c r="H145" s="1">
        <v>44186</v>
      </c>
      <c r="I145" t="s">
        <v>64</v>
      </c>
      <c r="J145" t="s">
        <v>61</v>
      </c>
      <c r="K145">
        <v>2020</v>
      </c>
      <c r="L145">
        <v>1970</v>
      </c>
      <c r="M145">
        <v>308</v>
      </c>
      <c r="N145">
        <v>525</v>
      </c>
      <c r="O145">
        <v>1034250</v>
      </c>
      <c r="P145">
        <v>31027.5</v>
      </c>
      <c r="Q145">
        <v>1003222.5</v>
      </c>
      <c r="R145">
        <v>557.45899999999995</v>
      </c>
      <c r="S145">
        <v>606760</v>
      </c>
      <c r="T145">
        <v>396462.5</v>
      </c>
    </row>
    <row r="146" spans="1:20" x14ac:dyDescent="0.35">
      <c r="A146" t="s">
        <v>37</v>
      </c>
      <c r="B146" t="s">
        <v>30</v>
      </c>
      <c r="C146" t="s">
        <v>55</v>
      </c>
      <c r="D146" t="s">
        <v>189</v>
      </c>
      <c r="E146" t="s">
        <v>57</v>
      </c>
      <c r="F146" t="s">
        <v>128</v>
      </c>
      <c r="G146" t="s">
        <v>59</v>
      </c>
      <c r="H146" s="1">
        <v>44185</v>
      </c>
      <c r="I146" t="s">
        <v>64</v>
      </c>
      <c r="J146" t="s">
        <v>61</v>
      </c>
      <c r="K146">
        <v>2020</v>
      </c>
      <c r="L146">
        <v>997</v>
      </c>
      <c r="M146">
        <v>4</v>
      </c>
      <c r="N146">
        <v>30</v>
      </c>
      <c r="O146">
        <v>29910</v>
      </c>
      <c r="P146">
        <v>897.30000000000007</v>
      </c>
      <c r="Q146">
        <v>29012.7</v>
      </c>
      <c r="R146">
        <v>16.121400000000001</v>
      </c>
      <c r="S146">
        <v>3988</v>
      </c>
      <c r="T146">
        <v>25024.7</v>
      </c>
    </row>
    <row r="147" spans="1:20" x14ac:dyDescent="0.35">
      <c r="A147" t="s">
        <v>37</v>
      </c>
      <c r="B147" t="s">
        <v>47</v>
      </c>
      <c r="C147" t="s">
        <v>43</v>
      </c>
      <c r="D147" t="s">
        <v>233</v>
      </c>
      <c r="E147" t="s">
        <v>45</v>
      </c>
      <c r="F147" t="s">
        <v>234</v>
      </c>
      <c r="G147" t="s">
        <v>59</v>
      </c>
      <c r="H147" s="1">
        <v>44167</v>
      </c>
      <c r="I147" t="s">
        <v>64</v>
      </c>
      <c r="J147" t="s">
        <v>61</v>
      </c>
      <c r="K147">
        <v>2020</v>
      </c>
      <c r="L147">
        <v>4621</v>
      </c>
      <c r="M147">
        <v>148</v>
      </c>
      <c r="N147">
        <v>30</v>
      </c>
      <c r="O147">
        <v>138630</v>
      </c>
      <c r="P147">
        <v>4158.9000000000005</v>
      </c>
      <c r="Q147">
        <v>134471.1</v>
      </c>
      <c r="R147">
        <v>74.699700000000007</v>
      </c>
      <c r="S147">
        <v>683908</v>
      </c>
      <c r="T147">
        <v>-549436.9</v>
      </c>
    </row>
    <row r="148" spans="1:20" x14ac:dyDescent="0.35">
      <c r="A148" t="s">
        <v>53</v>
      </c>
      <c r="B148" t="s">
        <v>38</v>
      </c>
      <c r="C148" t="s">
        <v>55</v>
      </c>
      <c r="D148" t="s">
        <v>68</v>
      </c>
      <c r="E148" t="s">
        <v>57</v>
      </c>
      <c r="F148" t="s">
        <v>69</v>
      </c>
      <c r="G148" t="s">
        <v>59</v>
      </c>
      <c r="H148" s="1">
        <v>44080</v>
      </c>
      <c r="I148" t="s">
        <v>27</v>
      </c>
      <c r="J148" t="s">
        <v>28</v>
      </c>
      <c r="K148">
        <v>2020</v>
      </c>
      <c r="L148">
        <v>2425</v>
      </c>
      <c r="M148">
        <v>4</v>
      </c>
      <c r="N148">
        <v>450</v>
      </c>
      <c r="O148">
        <v>1091250</v>
      </c>
      <c r="P148">
        <v>43650</v>
      </c>
      <c r="Q148">
        <v>1047600</v>
      </c>
      <c r="R148">
        <v>582.048</v>
      </c>
      <c r="S148">
        <v>9700</v>
      </c>
      <c r="T148">
        <v>1037900</v>
      </c>
    </row>
    <row r="149" spans="1:20" x14ac:dyDescent="0.35">
      <c r="A149" t="s">
        <v>37</v>
      </c>
      <c r="B149" t="s">
        <v>38</v>
      </c>
      <c r="C149" t="s">
        <v>31</v>
      </c>
      <c r="D149" t="s">
        <v>39</v>
      </c>
      <c r="E149" t="s">
        <v>33</v>
      </c>
      <c r="F149" t="s">
        <v>40</v>
      </c>
      <c r="G149" t="s">
        <v>59</v>
      </c>
      <c r="H149" s="1">
        <v>43956</v>
      </c>
      <c r="I149" t="s">
        <v>77</v>
      </c>
      <c r="J149" t="s">
        <v>78</v>
      </c>
      <c r="K149">
        <v>2020</v>
      </c>
      <c r="L149">
        <v>5101</v>
      </c>
      <c r="M149">
        <v>12</v>
      </c>
      <c r="N149">
        <v>11</v>
      </c>
      <c r="O149">
        <v>56111</v>
      </c>
      <c r="P149">
        <v>2244.44</v>
      </c>
      <c r="Q149">
        <v>53866.559999999998</v>
      </c>
      <c r="R149">
        <v>28.56672</v>
      </c>
      <c r="S149">
        <v>61212</v>
      </c>
      <c r="T149">
        <v>-7345.4400000000023</v>
      </c>
    </row>
    <row r="150" spans="1:20" x14ac:dyDescent="0.35">
      <c r="A150" t="s">
        <v>53</v>
      </c>
      <c r="B150" t="s">
        <v>65</v>
      </c>
      <c r="C150" t="s">
        <v>31</v>
      </c>
      <c r="D150" t="s">
        <v>143</v>
      </c>
      <c r="E150" t="s">
        <v>33</v>
      </c>
      <c r="F150" t="s">
        <v>126</v>
      </c>
      <c r="G150" t="s">
        <v>59</v>
      </c>
      <c r="H150" s="1">
        <v>43885</v>
      </c>
      <c r="I150" t="s">
        <v>52</v>
      </c>
      <c r="J150" t="s">
        <v>36</v>
      </c>
      <c r="K150">
        <v>2020</v>
      </c>
      <c r="L150">
        <v>1697</v>
      </c>
      <c r="M150">
        <v>12</v>
      </c>
      <c r="N150">
        <v>450</v>
      </c>
      <c r="O150">
        <v>763650</v>
      </c>
      <c r="P150">
        <v>30546</v>
      </c>
      <c r="Q150">
        <v>733104</v>
      </c>
      <c r="R150">
        <v>407.37599999999998</v>
      </c>
      <c r="S150">
        <v>20364</v>
      </c>
      <c r="T150">
        <v>712740</v>
      </c>
    </row>
    <row r="151" spans="1:20" x14ac:dyDescent="0.35">
      <c r="A151" t="s">
        <v>53</v>
      </c>
      <c r="B151" t="s">
        <v>38</v>
      </c>
      <c r="C151" t="s">
        <v>31</v>
      </c>
      <c r="D151" t="s">
        <v>235</v>
      </c>
      <c r="E151" t="s">
        <v>33</v>
      </c>
      <c r="F151" t="s">
        <v>165</v>
      </c>
      <c r="G151" t="s">
        <v>59</v>
      </c>
      <c r="H151" s="1">
        <v>44074</v>
      </c>
      <c r="I151" t="s">
        <v>41</v>
      </c>
      <c r="J151" t="s">
        <v>28</v>
      </c>
      <c r="K151">
        <v>2020</v>
      </c>
      <c r="L151">
        <v>3502</v>
      </c>
      <c r="M151">
        <v>12</v>
      </c>
      <c r="N151">
        <v>450</v>
      </c>
      <c r="O151">
        <v>1575900</v>
      </c>
      <c r="P151">
        <v>63036</v>
      </c>
      <c r="Q151">
        <v>1512864</v>
      </c>
      <c r="R151">
        <v>840.38400000000001</v>
      </c>
      <c r="S151">
        <v>42024</v>
      </c>
      <c r="T151">
        <v>1470840</v>
      </c>
    </row>
    <row r="152" spans="1:20" x14ac:dyDescent="0.35">
      <c r="A152" t="s">
        <v>37</v>
      </c>
      <c r="B152" t="s">
        <v>54</v>
      </c>
      <c r="C152" t="s">
        <v>31</v>
      </c>
      <c r="D152" t="s">
        <v>183</v>
      </c>
      <c r="E152" t="s">
        <v>33</v>
      </c>
      <c r="F152" t="s">
        <v>184</v>
      </c>
      <c r="G152" t="s">
        <v>59</v>
      </c>
      <c r="H152" s="1">
        <v>44151</v>
      </c>
      <c r="I152" t="s">
        <v>60</v>
      </c>
      <c r="J152" t="s">
        <v>61</v>
      </c>
      <c r="K152">
        <v>2020</v>
      </c>
      <c r="L152">
        <v>329</v>
      </c>
      <c r="M152">
        <v>12</v>
      </c>
      <c r="N152">
        <v>525</v>
      </c>
      <c r="O152">
        <v>172725</v>
      </c>
      <c r="P152">
        <v>6909</v>
      </c>
      <c r="Q152">
        <v>165816</v>
      </c>
      <c r="R152">
        <v>92.063999999999993</v>
      </c>
      <c r="S152">
        <v>3948</v>
      </c>
      <c r="T152">
        <v>161868</v>
      </c>
    </row>
    <row r="153" spans="1:20" x14ac:dyDescent="0.35">
      <c r="A153" t="s">
        <v>20</v>
      </c>
      <c r="B153" t="s">
        <v>47</v>
      </c>
      <c r="C153" t="s">
        <v>31</v>
      </c>
      <c r="D153" t="s">
        <v>75</v>
      </c>
      <c r="E153" t="s">
        <v>33</v>
      </c>
      <c r="F153" t="s">
        <v>76</v>
      </c>
      <c r="G153" t="s">
        <v>59</v>
      </c>
      <c r="H153" s="1">
        <v>43880</v>
      </c>
      <c r="I153" t="s">
        <v>52</v>
      </c>
      <c r="J153" t="s">
        <v>36</v>
      </c>
      <c r="K153">
        <v>2020</v>
      </c>
      <c r="L153">
        <v>1366</v>
      </c>
      <c r="M153">
        <v>12</v>
      </c>
      <c r="N153">
        <v>188</v>
      </c>
      <c r="O153">
        <v>256808</v>
      </c>
      <c r="P153">
        <v>10272.32</v>
      </c>
      <c r="Q153">
        <v>246535.67999999999</v>
      </c>
      <c r="R153">
        <v>136.56</v>
      </c>
      <c r="S153">
        <v>16392</v>
      </c>
      <c r="T153">
        <v>230143.68</v>
      </c>
    </row>
    <row r="154" spans="1:20" x14ac:dyDescent="0.35">
      <c r="A154" t="s">
        <v>79</v>
      </c>
      <c r="B154" t="s">
        <v>21</v>
      </c>
      <c r="C154" t="s">
        <v>48</v>
      </c>
      <c r="D154" t="s">
        <v>153</v>
      </c>
      <c r="E154" t="s">
        <v>50</v>
      </c>
      <c r="F154" t="s">
        <v>154</v>
      </c>
      <c r="G154" t="s">
        <v>59</v>
      </c>
      <c r="H154" s="1">
        <v>44012</v>
      </c>
      <c r="I154" t="s">
        <v>144</v>
      </c>
      <c r="J154" t="s">
        <v>78</v>
      </c>
      <c r="K154">
        <v>2020</v>
      </c>
      <c r="L154">
        <v>1039</v>
      </c>
      <c r="M154">
        <v>308</v>
      </c>
      <c r="N154">
        <v>18</v>
      </c>
      <c r="O154">
        <v>18702</v>
      </c>
      <c r="P154">
        <v>748.08</v>
      </c>
      <c r="Q154">
        <v>17953.919999999998</v>
      </c>
      <c r="R154">
        <v>9.9763199999999994</v>
      </c>
      <c r="S154">
        <v>320012</v>
      </c>
      <c r="T154">
        <v>-302058.08</v>
      </c>
    </row>
    <row r="155" spans="1:20" x14ac:dyDescent="0.35">
      <c r="A155" t="s">
        <v>37</v>
      </c>
      <c r="B155" t="s">
        <v>47</v>
      </c>
      <c r="C155" t="s">
        <v>48</v>
      </c>
      <c r="D155" t="s">
        <v>49</v>
      </c>
      <c r="E155" t="s">
        <v>50</v>
      </c>
      <c r="F155" t="s">
        <v>51</v>
      </c>
      <c r="G155" t="s">
        <v>59</v>
      </c>
      <c r="H155" s="1">
        <v>43892</v>
      </c>
      <c r="I155" t="s">
        <v>109</v>
      </c>
      <c r="J155" t="s">
        <v>36</v>
      </c>
      <c r="K155">
        <v>2020</v>
      </c>
      <c r="L155">
        <v>2612</v>
      </c>
      <c r="M155">
        <v>308</v>
      </c>
      <c r="N155">
        <v>525</v>
      </c>
      <c r="O155">
        <v>1371300</v>
      </c>
      <c r="P155">
        <v>54852</v>
      </c>
      <c r="Q155">
        <v>1316448</v>
      </c>
      <c r="R155">
        <v>731.47199999999998</v>
      </c>
      <c r="S155">
        <v>804496</v>
      </c>
      <c r="T155">
        <v>511952</v>
      </c>
    </row>
    <row r="156" spans="1:20" x14ac:dyDescent="0.35">
      <c r="A156" t="s">
        <v>37</v>
      </c>
      <c r="B156" t="s">
        <v>65</v>
      </c>
      <c r="C156" t="s">
        <v>102</v>
      </c>
      <c r="D156" t="s">
        <v>236</v>
      </c>
      <c r="E156" t="s">
        <v>104</v>
      </c>
      <c r="F156" t="s">
        <v>126</v>
      </c>
      <c r="G156" t="s">
        <v>59</v>
      </c>
      <c r="H156" s="1">
        <v>43840</v>
      </c>
      <c r="I156" t="s">
        <v>35</v>
      </c>
      <c r="J156" t="s">
        <v>36</v>
      </c>
      <c r="K156">
        <v>2020</v>
      </c>
      <c r="L156">
        <v>2238</v>
      </c>
      <c r="M156">
        <v>320</v>
      </c>
      <c r="N156">
        <v>525</v>
      </c>
      <c r="O156">
        <v>1174950</v>
      </c>
      <c r="P156">
        <v>46998</v>
      </c>
      <c r="Q156">
        <v>1127952</v>
      </c>
      <c r="R156">
        <v>626.64</v>
      </c>
      <c r="S156">
        <v>716160</v>
      </c>
      <c r="T156">
        <v>411792</v>
      </c>
    </row>
    <row r="157" spans="1:20" x14ac:dyDescent="0.35">
      <c r="A157" t="s">
        <v>37</v>
      </c>
      <c r="B157" t="s">
        <v>54</v>
      </c>
      <c r="C157" t="s">
        <v>102</v>
      </c>
      <c r="D157" t="s">
        <v>106</v>
      </c>
      <c r="E157" t="s">
        <v>104</v>
      </c>
      <c r="F157" t="s">
        <v>107</v>
      </c>
      <c r="G157" t="s">
        <v>59</v>
      </c>
      <c r="H157" s="1">
        <v>44175</v>
      </c>
      <c r="I157" t="s">
        <v>64</v>
      </c>
      <c r="J157" t="s">
        <v>61</v>
      </c>
      <c r="K157">
        <v>2020</v>
      </c>
      <c r="L157">
        <v>2288</v>
      </c>
      <c r="M157">
        <v>320</v>
      </c>
      <c r="N157">
        <v>525</v>
      </c>
      <c r="O157">
        <v>1201200</v>
      </c>
      <c r="P157">
        <v>48048</v>
      </c>
      <c r="Q157">
        <v>1153152</v>
      </c>
      <c r="R157">
        <v>640.75199999999995</v>
      </c>
      <c r="S157">
        <v>732160</v>
      </c>
      <c r="T157">
        <v>420992</v>
      </c>
    </row>
    <row r="158" spans="1:20" x14ac:dyDescent="0.35">
      <c r="A158" t="s">
        <v>37</v>
      </c>
      <c r="B158" t="s">
        <v>30</v>
      </c>
      <c r="C158" t="s">
        <v>48</v>
      </c>
      <c r="D158" t="s">
        <v>231</v>
      </c>
      <c r="E158" t="s">
        <v>50</v>
      </c>
      <c r="F158" t="s">
        <v>232</v>
      </c>
      <c r="G158" t="s">
        <v>108</v>
      </c>
      <c r="H158" s="1">
        <v>44026</v>
      </c>
      <c r="I158" t="s">
        <v>89</v>
      </c>
      <c r="J158" t="s">
        <v>28</v>
      </c>
      <c r="K158">
        <v>2020</v>
      </c>
      <c r="L158">
        <v>3227</v>
      </c>
      <c r="M158">
        <v>308</v>
      </c>
      <c r="N158">
        <v>11</v>
      </c>
      <c r="O158">
        <v>35497</v>
      </c>
      <c r="P158">
        <v>1774.85</v>
      </c>
      <c r="Q158">
        <v>33722.15</v>
      </c>
      <c r="R158">
        <v>17.88185</v>
      </c>
      <c r="S158">
        <v>993916</v>
      </c>
      <c r="T158">
        <v>-960193.85</v>
      </c>
    </row>
    <row r="159" spans="1:20" x14ac:dyDescent="0.35">
      <c r="A159" t="s">
        <v>79</v>
      </c>
      <c r="B159" t="s">
        <v>30</v>
      </c>
      <c r="C159" t="s">
        <v>55</v>
      </c>
      <c r="D159" t="s">
        <v>237</v>
      </c>
      <c r="E159" t="s">
        <v>57</v>
      </c>
      <c r="F159" t="s">
        <v>238</v>
      </c>
      <c r="G159" t="s">
        <v>108</v>
      </c>
      <c r="H159" s="1">
        <v>43980</v>
      </c>
      <c r="I159" t="s">
        <v>77</v>
      </c>
      <c r="J159" t="s">
        <v>78</v>
      </c>
      <c r="K159">
        <v>2020</v>
      </c>
      <c r="L159">
        <v>1339</v>
      </c>
      <c r="M159">
        <v>4</v>
      </c>
      <c r="N159">
        <v>18</v>
      </c>
      <c r="O159">
        <v>24102</v>
      </c>
      <c r="P159">
        <v>1205.1000000000001</v>
      </c>
      <c r="Q159">
        <v>22896.9</v>
      </c>
      <c r="R159">
        <v>12.7224</v>
      </c>
      <c r="S159">
        <v>5356</v>
      </c>
      <c r="T159">
        <v>17540.900000000001</v>
      </c>
    </row>
    <row r="160" spans="1:20" x14ac:dyDescent="0.35">
      <c r="A160" t="s">
        <v>37</v>
      </c>
      <c r="B160" t="s">
        <v>65</v>
      </c>
      <c r="C160" t="s">
        <v>55</v>
      </c>
      <c r="D160" t="s">
        <v>70</v>
      </c>
      <c r="E160" t="s">
        <v>57</v>
      </c>
      <c r="F160" t="s">
        <v>71</v>
      </c>
      <c r="G160" t="s">
        <v>108</v>
      </c>
      <c r="H160" s="1">
        <v>44052</v>
      </c>
      <c r="I160" t="s">
        <v>41</v>
      </c>
      <c r="J160" t="s">
        <v>28</v>
      </c>
      <c r="K160">
        <v>2020</v>
      </c>
      <c r="L160">
        <v>1876</v>
      </c>
      <c r="M160">
        <v>4</v>
      </c>
      <c r="N160">
        <v>30</v>
      </c>
      <c r="O160">
        <v>56280</v>
      </c>
      <c r="P160">
        <v>2814</v>
      </c>
      <c r="Q160">
        <v>53466</v>
      </c>
      <c r="R160">
        <v>29.696999999999999</v>
      </c>
      <c r="S160">
        <v>7504</v>
      </c>
      <c r="T160">
        <v>45962</v>
      </c>
    </row>
    <row r="161" spans="1:20" x14ac:dyDescent="0.35">
      <c r="A161" t="s">
        <v>29</v>
      </c>
      <c r="B161" t="s">
        <v>38</v>
      </c>
      <c r="C161" t="s">
        <v>55</v>
      </c>
      <c r="D161" t="s">
        <v>239</v>
      </c>
      <c r="E161" t="s">
        <v>57</v>
      </c>
      <c r="F161" t="s">
        <v>240</v>
      </c>
      <c r="G161" t="s">
        <v>108</v>
      </c>
      <c r="H161" s="1">
        <v>44080</v>
      </c>
      <c r="I161" t="s">
        <v>27</v>
      </c>
      <c r="J161" t="s">
        <v>28</v>
      </c>
      <c r="K161">
        <v>2020</v>
      </c>
      <c r="L161">
        <v>3349</v>
      </c>
      <c r="M161">
        <v>4</v>
      </c>
      <c r="N161">
        <v>23</v>
      </c>
      <c r="O161">
        <v>77027</v>
      </c>
      <c r="P161">
        <v>3851.3500000000004</v>
      </c>
      <c r="Q161">
        <v>73175.649999999994</v>
      </c>
      <c r="R161">
        <v>39.771749999999997</v>
      </c>
      <c r="S161">
        <v>13396</v>
      </c>
      <c r="T161">
        <v>59779.649999999994</v>
      </c>
    </row>
    <row r="162" spans="1:20" x14ac:dyDescent="0.35">
      <c r="A162" t="s">
        <v>37</v>
      </c>
      <c r="B162" t="s">
        <v>21</v>
      </c>
      <c r="C162" t="s">
        <v>55</v>
      </c>
      <c r="D162" t="s">
        <v>125</v>
      </c>
      <c r="E162" t="s">
        <v>57</v>
      </c>
      <c r="F162" t="s">
        <v>126</v>
      </c>
      <c r="G162" t="s">
        <v>108</v>
      </c>
      <c r="H162" s="1">
        <v>43926</v>
      </c>
      <c r="I162" t="s">
        <v>112</v>
      </c>
      <c r="J162" t="s">
        <v>78</v>
      </c>
      <c r="K162">
        <v>2020</v>
      </c>
      <c r="L162">
        <v>684</v>
      </c>
      <c r="M162">
        <v>4</v>
      </c>
      <c r="N162">
        <v>11</v>
      </c>
      <c r="O162">
        <v>7524</v>
      </c>
      <c r="P162">
        <v>376.20000000000005</v>
      </c>
      <c r="Q162">
        <v>7147.8</v>
      </c>
      <c r="R162">
        <v>3.7905000000000002</v>
      </c>
      <c r="S162">
        <v>2736</v>
      </c>
      <c r="T162">
        <v>4411.8</v>
      </c>
    </row>
    <row r="163" spans="1:20" x14ac:dyDescent="0.35">
      <c r="A163" t="s">
        <v>37</v>
      </c>
      <c r="B163" t="s">
        <v>54</v>
      </c>
      <c r="C163" t="s">
        <v>22</v>
      </c>
      <c r="D163" t="s">
        <v>226</v>
      </c>
      <c r="E163" t="s">
        <v>24</v>
      </c>
      <c r="F163" t="s">
        <v>227</v>
      </c>
      <c r="G163" t="s">
        <v>108</v>
      </c>
      <c r="H163" s="1">
        <v>44006</v>
      </c>
      <c r="I163" t="s">
        <v>144</v>
      </c>
      <c r="J163" t="s">
        <v>78</v>
      </c>
      <c r="K163">
        <v>2020</v>
      </c>
      <c r="L163">
        <v>1661</v>
      </c>
      <c r="M163">
        <v>6</v>
      </c>
      <c r="N163">
        <v>525</v>
      </c>
      <c r="O163">
        <v>872025</v>
      </c>
      <c r="P163">
        <v>43601.25</v>
      </c>
      <c r="Q163">
        <v>828423.75</v>
      </c>
      <c r="R163">
        <v>460.34625</v>
      </c>
      <c r="S163">
        <v>9966</v>
      </c>
      <c r="T163">
        <v>818457.75</v>
      </c>
    </row>
    <row r="164" spans="1:20" x14ac:dyDescent="0.35">
      <c r="A164" t="s">
        <v>20</v>
      </c>
      <c r="B164" t="s">
        <v>65</v>
      </c>
      <c r="C164" t="s">
        <v>22</v>
      </c>
      <c r="D164" t="s">
        <v>66</v>
      </c>
      <c r="E164" t="s">
        <v>24</v>
      </c>
      <c r="F164" t="s">
        <v>67</v>
      </c>
      <c r="G164" t="s">
        <v>108</v>
      </c>
      <c r="H164" s="1">
        <v>43988</v>
      </c>
      <c r="I164" t="s">
        <v>144</v>
      </c>
      <c r="J164" t="s">
        <v>78</v>
      </c>
      <c r="K164">
        <v>2020</v>
      </c>
      <c r="L164">
        <v>4352</v>
      </c>
      <c r="M164">
        <v>6</v>
      </c>
      <c r="N164">
        <v>188</v>
      </c>
      <c r="O164">
        <v>818176</v>
      </c>
      <c r="P164">
        <v>40908.800000000003</v>
      </c>
      <c r="Q164">
        <v>777267.19999999995</v>
      </c>
      <c r="R164">
        <v>430.70625000000001</v>
      </c>
      <c r="S164">
        <v>26112</v>
      </c>
      <c r="T164">
        <v>751155.19999999995</v>
      </c>
    </row>
    <row r="165" spans="1:20" x14ac:dyDescent="0.35">
      <c r="A165" t="s">
        <v>79</v>
      </c>
      <c r="B165" t="s">
        <v>42</v>
      </c>
      <c r="C165" t="s">
        <v>22</v>
      </c>
      <c r="D165" t="s">
        <v>193</v>
      </c>
      <c r="E165" t="s">
        <v>24</v>
      </c>
      <c r="F165" t="s">
        <v>116</v>
      </c>
      <c r="G165" t="s">
        <v>108</v>
      </c>
      <c r="H165" s="1">
        <v>44067</v>
      </c>
      <c r="I165" t="s">
        <v>41</v>
      </c>
      <c r="J165" t="s">
        <v>28</v>
      </c>
      <c r="K165">
        <v>2020</v>
      </c>
      <c r="L165">
        <v>2810</v>
      </c>
      <c r="M165">
        <v>6</v>
      </c>
      <c r="N165">
        <v>18</v>
      </c>
      <c r="O165">
        <v>50580</v>
      </c>
      <c r="P165">
        <v>2529</v>
      </c>
      <c r="Q165">
        <v>48051</v>
      </c>
      <c r="R165">
        <v>26.698799999999999</v>
      </c>
      <c r="S165">
        <v>16860</v>
      </c>
      <c r="T165">
        <v>31191</v>
      </c>
    </row>
    <row r="166" spans="1:20" x14ac:dyDescent="0.35">
      <c r="A166" t="s">
        <v>20</v>
      </c>
      <c r="B166" t="s">
        <v>54</v>
      </c>
      <c r="C166" t="s">
        <v>31</v>
      </c>
      <c r="D166" t="s">
        <v>115</v>
      </c>
      <c r="E166" t="s">
        <v>33</v>
      </c>
      <c r="F166" t="s">
        <v>116</v>
      </c>
      <c r="G166" t="s">
        <v>108</v>
      </c>
      <c r="H166" s="1">
        <v>43843</v>
      </c>
      <c r="I166" t="s">
        <v>35</v>
      </c>
      <c r="J166" t="s">
        <v>36</v>
      </c>
      <c r="K166">
        <v>2020</v>
      </c>
      <c r="L166">
        <v>2862</v>
      </c>
      <c r="M166">
        <v>12</v>
      </c>
      <c r="N166">
        <v>188</v>
      </c>
      <c r="O166">
        <v>538056</v>
      </c>
      <c r="P166">
        <v>26902.800000000003</v>
      </c>
      <c r="Q166">
        <v>511153.2</v>
      </c>
      <c r="R166">
        <v>283.21875</v>
      </c>
      <c r="S166">
        <v>34344</v>
      </c>
      <c r="T166">
        <v>476809.2</v>
      </c>
    </row>
    <row r="167" spans="1:20" x14ac:dyDescent="0.35">
      <c r="A167" t="s">
        <v>53</v>
      </c>
      <c r="B167" t="s">
        <v>54</v>
      </c>
      <c r="C167" t="s">
        <v>31</v>
      </c>
      <c r="D167" t="s">
        <v>241</v>
      </c>
      <c r="E167" t="s">
        <v>33</v>
      </c>
      <c r="F167" t="s">
        <v>242</v>
      </c>
      <c r="G167" t="s">
        <v>108</v>
      </c>
      <c r="H167" s="1">
        <v>43893</v>
      </c>
      <c r="I167" t="s">
        <v>109</v>
      </c>
      <c r="J167" t="s">
        <v>36</v>
      </c>
      <c r="K167">
        <v>2020</v>
      </c>
      <c r="L167">
        <v>1928</v>
      </c>
      <c r="M167">
        <v>12</v>
      </c>
      <c r="N167">
        <v>450</v>
      </c>
      <c r="O167">
        <v>867600</v>
      </c>
      <c r="P167">
        <v>43380</v>
      </c>
      <c r="Q167">
        <v>824220</v>
      </c>
      <c r="R167">
        <v>457.995</v>
      </c>
      <c r="S167">
        <v>23136</v>
      </c>
      <c r="T167">
        <v>801084</v>
      </c>
    </row>
    <row r="168" spans="1:20" x14ac:dyDescent="0.35">
      <c r="A168" t="s">
        <v>53</v>
      </c>
      <c r="B168" t="s">
        <v>38</v>
      </c>
      <c r="C168" t="s">
        <v>31</v>
      </c>
      <c r="D168" t="s">
        <v>235</v>
      </c>
      <c r="E168" t="s">
        <v>33</v>
      </c>
      <c r="F168" t="s">
        <v>165</v>
      </c>
      <c r="G168" t="s">
        <v>108</v>
      </c>
      <c r="H168" s="1">
        <v>44111</v>
      </c>
      <c r="I168" t="s">
        <v>72</v>
      </c>
      <c r="J168" t="s">
        <v>61</v>
      </c>
      <c r="K168">
        <v>2020</v>
      </c>
      <c r="L168">
        <v>1189</v>
      </c>
      <c r="M168">
        <v>12</v>
      </c>
      <c r="N168">
        <v>450</v>
      </c>
      <c r="O168">
        <v>535050</v>
      </c>
      <c r="P168">
        <v>26752.5</v>
      </c>
      <c r="Q168">
        <v>508297.5</v>
      </c>
      <c r="R168">
        <v>282.435</v>
      </c>
      <c r="S168">
        <v>14268</v>
      </c>
      <c r="T168">
        <v>494029.5</v>
      </c>
    </row>
    <row r="169" spans="1:20" x14ac:dyDescent="0.35">
      <c r="A169" t="s">
        <v>29</v>
      </c>
      <c r="B169" t="s">
        <v>30</v>
      </c>
      <c r="C169" t="s">
        <v>31</v>
      </c>
      <c r="D169" t="s">
        <v>32</v>
      </c>
      <c r="E169" t="s">
        <v>33</v>
      </c>
      <c r="F169" t="s">
        <v>34</v>
      </c>
      <c r="G169" t="s">
        <v>108</v>
      </c>
      <c r="H169" s="1">
        <v>43861</v>
      </c>
      <c r="I169" t="s">
        <v>35</v>
      </c>
      <c r="J169" t="s">
        <v>36</v>
      </c>
      <c r="K169">
        <v>2020</v>
      </c>
      <c r="L169">
        <v>3144</v>
      </c>
      <c r="M169">
        <v>12</v>
      </c>
      <c r="N169">
        <v>23</v>
      </c>
      <c r="O169">
        <v>72312</v>
      </c>
      <c r="P169">
        <v>3615.6000000000004</v>
      </c>
      <c r="Q169">
        <v>68696.399999999994</v>
      </c>
      <c r="R169">
        <v>37.335000000000001</v>
      </c>
      <c r="S169">
        <v>37728</v>
      </c>
      <c r="T169">
        <v>30968.399999999994</v>
      </c>
    </row>
    <row r="170" spans="1:20" x14ac:dyDescent="0.35">
      <c r="A170" t="s">
        <v>20</v>
      </c>
      <c r="B170" t="s">
        <v>54</v>
      </c>
      <c r="C170" t="s">
        <v>31</v>
      </c>
      <c r="D170" t="s">
        <v>243</v>
      </c>
      <c r="E170" t="s">
        <v>33</v>
      </c>
      <c r="F170" t="s">
        <v>163</v>
      </c>
      <c r="G170" t="s">
        <v>108</v>
      </c>
      <c r="H170" s="1">
        <v>44029</v>
      </c>
      <c r="I170" t="s">
        <v>89</v>
      </c>
      <c r="J170" t="s">
        <v>28</v>
      </c>
      <c r="K170">
        <v>2020</v>
      </c>
      <c r="L170">
        <v>1033</v>
      </c>
      <c r="M170">
        <v>12</v>
      </c>
      <c r="N170">
        <v>188</v>
      </c>
      <c r="O170">
        <v>194204</v>
      </c>
      <c r="P170">
        <v>9710.2000000000007</v>
      </c>
      <c r="Q170">
        <v>184493.8</v>
      </c>
      <c r="R170">
        <v>102.24375000000001</v>
      </c>
      <c r="S170">
        <v>12396</v>
      </c>
      <c r="T170">
        <v>172097.8</v>
      </c>
    </row>
    <row r="171" spans="1:20" x14ac:dyDescent="0.35">
      <c r="A171" t="s">
        <v>37</v>
      </c>
      <c r="B171" t="s">
        <v>54</v>
      </c>
      <c r="C171" t="s">
        <v>31</v>
      </c>
      <c r="D171" t="s">
        <v>183</v>
      </c>
      <c r="E171" t="s">
        <v>33</v>
      </c>
      <c r="F171" t="s">
        <v>184</v>
      </c>
      <c r="G171" t="s">
        <v>108</v>
      </c>
      <c r="H171" s="1">
        <v>43850</v>
      </c>
      <c r="I171" t="s">
        <v>35</v>
      </c>
      <c r="J171" t="s">
        <v>36</v>
      </c>
      <c r="K171">
        <v>2020</v>
      </c>
      <c r="L171">
        <v>3196</v>
      </c>
      <c r="M171">
        <v>12</v>
      </c>
      <c r="N171">
        <v>30</v>
      </c>
      <c r="O171">
        <v>95880</v>
      </c>
      <c r="P171">
        <v>4794</v>
      </c>
      <c r="Q171">
        <v>91086</v>
      </c>
      <c r="R171">
        <v>50.597000000000001</v>
      </c>
      <c r="S171">
        <v>38352</v>
      </c>
      <c r="T171">
        <v>52734</v>
      </c>
    </row>
    <row r="172" spans="1:20" x14ac:dyDescent="0.35">
      <c r="A172" t="s">
        <v>29</v>
      </c>
      <c r="B172" t="s">
        <v>42</v>
      </c>
      <c r="C172" t="s">
        <v>43</v>
      </c>
      <c r="D172" t="s">
        <v>244</v>
      </c>
      <c r="E172" t="s">
        <v>45</v>
      </c>
      <c r="F172" t="s">
        <v>116</v>
      </c>
      <c r="G172" t="s">
        <v>108</v>
      </c>
      <c r="H172" s="1">
        <v>44107</v>
      </c>
      <c r="I172" t="s">
        <v>72</v>
      </c>
      <c r="J172" t="s">
        <v>61</v>
      </c>
      <c r="K172">
        <v>2020</v>
      </c>
      <c r="L172">
        <v>666</v>
      </c>
      <c r="M172">
        <v>148</v>
      </c>
      <c r="N172">
        <v>23</v>
      </c>
      <c r="O172">
        <v>15318</v>
      </c>
      <c r="P172">
        <v>765.90000000000009</v>
      </c>
      <c r="Q172">
        <v>14552.1</v>
      </c>
      <c r="R172">
        <v>7.9087500000000004</v>
      </c>
      <c r="S172">
        <v>98568</v>
      </c>
      <c r="T172">
        <v>-84015.9</v>
      </c>
    </row>
    <row r="173" spans="1:20" x14ac:dyDescent="0.35">
      <c r="A173" t="s">
        <v>37</v>
      </c>
      <c r="B173" t="s">
        <v>21</v>
      </c>
      <c r="C173" t="s">
        <v>43</v>
      </c>
      <c r="D173" t="s">
        <v>245</v>
      </c>
      <c r="E173" t="s">
        <v>45</v>
      </c>
      <c r="F173" t="s">
        <v>246</v>
      </c>
      <c r="G173" t="s">
        <v>108</v>
      </c>
      <c r="H173" s="1">
        <v>44175</v>
      </c>
      <c r="I173" t="s">
        <v>64</v>
      </c>
      <c r="J173" t="s">
        <v>61</v>
      </c>
      <c r="K173">
        <v>2020</v>
      </c>
      <c r="L173">
        <v>3398</v>
      </c>
      <c r="M173">
        <v>148</v>
      </c>
      <c r="N173">
        <v>30</v>
      </c>
      <c r="O173">
        <v>101940</v>
      </c>
      <c r="P173">
        <v>5097</v>
      </c>
      <c r="Q173">
        <v>96843</v>
      </c>
      <c r="R173">
        <v>53.808</v>
      </c>
      <c r="S173">
        <v>502904</v>
      </c>
      <c r="T173">
        <v>-406061</v>
      </c>
    </row>
    <row r="174" spans="1:20" x14ac:dyDescent="0.35">
      <c r="A174" t="s">
        <v>37</v>
      </c>
      <c r="B174" t="s">
        <v>42</v>
      </c>
      <c r="C174" t="s">
        <v>102</v>
      </c>
      <c r="D174" t="s">
        <v>103</v>
      </c>
      <c r="E174" t="s">
        <v>104</v>
      </c>
      <c r="F174" t="s">
        <v>105</v>
      </c>
      <c r="G174" t="s">
        <v>108</v>
      </c>
      <c r="H174" s="1">
        <v>44072</v>
      </c>
      <c r="I174" t="s">
        <v>41</v>
      </c>
      <c r="J174" t="s">
        <v>28</v>
      </c>
      <c r="K174">
        <v>2020</v>
      </c>
      <c r="L174">
        <v>662</v>
      </c>
      <c r="M174">
        <v>320</v>
      </c>
      <c r="N174">
        <v>525</v>
      </c>
      <c r="O174">
        <v>347550</v>
      </c>
      <c r="P174">
        <v>17377.5</v>
      </c>
      <c r="Q174">
        <v>330172.5</v>
      </c>
      <c r="R174">
        <v>183.54</v>
      </c>
      <c r="S174">
        <v>211840</v>
      </c>
      <c r="T174">
        <v>118332.5</v>
      </c>
    </row>
    <row r="175" spans="1:20" x14ac:dyDescent="0.35">
      <c r="A175" t="s">
        <v>37</v>
      </c>
      <c r="B175" t="s">
        <v>21</v>
      </c>
      <c r="C175" t="s">
        <v>55</v>
      </c>
      <c r="D175" t="s">
        <v>125</v>
      </c>
      <c r="E175" t="s">
        <v>57</v>
      </c>
      <c r="F175" t="s">
        <v>126</v>
      </c>
      <c r="G175" t="s">
        <v>108</v>
      </c>
      <c r="H175" s="1">
        <v>43994</v>
      </c>
      <c r="I175" t="s">
        <v>144</v>
      </c>
      <c r="J175" t="s">
        <v>78</v>
      </c>
      <c r="K175">
        <v>2020</v>
      </c>
      <c r="L175">
        <v>1341</v>
      </c>
      <c r="M175">
        <v>4</v>
      </c>
      <c r="N175">
        <v>30</v>
      </c>
      <c r="O175">
        <v>40230</v>
      </c>
      <c r="P175">
        <v>2413.7999999999997</v>
      </c>
      <c r="Q175">
        <v>37816.199999999997</v>
      </c>
      <c r="R175">
        <v>21.009</v>
      </c>
      <c r="S175">
        <v>5364</v>
      </c>
      <c r="T175">
        <v>32452.199999999997</v>
      </c>
    </row>
    <row r="176" spans="1:20" x14ac:dyDescent="0.35">
      <c r="A176" t="s">
        <v>29</v>
      </c>
      <c r="B176" t="s">
        <v>30</v>
      </c>
      <c r="C176" t="s">
        <v>55</v>
      </c>
      <c r="D176" t="s">
        <v>160</v>
      </c>
      <c r="E176" t="s">
        <v>57</v>
      </c>
      <c r="F176" t="s">
        <v>161</v>
      </c>
      <c r="G176" t="s">
        <v>108</v>
      </c>
      <c r="H176" s="1">
        <v>44039</v>
      </c>
      <c r="I176" t="s">
        <v>89</v>
      </c>
      <c r="J176" t="s">
        <v>28</v>
      </c>
      <c r="K176">
        <v>2020</v>
      </c>
      <c r="L176">
        <v>3413</v>
      </c>
      <c r="M176">
        <v>4</v>
      </c>
      <c r="N176">
        <v>23</v>
      </c>
      <c r="O176">
        <v>78499</v>
      </c>
      <c r="P176">
        <v>4709.9399999999996</v>
      </c>
      <c r="Q176">
        <v>73789.06</v>
      </c>
      <c r="R176">
        <v>40.1004</v>
      </c>
      <c r="S176">
        <v>13652</v>
      </c>
      <c r="T176">
        <v>60137.06</v>
      </c>
    </row>
    <row r="177" spans="1:20" x14ac:dyDescent="0.35">
      <c r="A177" t="s">
        <v>79</v>
      </c>
      <c r="B177" t="s">
        <v>65</v>
      </c>
      <c r="C177" t="s">
        <v>55</v>
      </c>
      <c r="D177" t="s">
        <v>247</v>
      </c>
      <c r="E177" t="s">
        <v>57</v>
      </c>
      <c r="F177" t="s">
        <v>248</v>
      </c>
      <c r="G177" t="s">
        <v>108</v>
      </c>
      <c r="H177" s="1">
        <v>44158</v>
      </c>
      <c r="I177" t="s">
        <v>60</v>
      </c>
      <c r="J177" t="s">
        <v>61</v>
      </c>
      <c r="K177">
        <v>2020</v>
      </c>
      <c r="L177">
        <v>674</v>
      </c>
      <c r="M177">
        <v>4</v>
      </c>
      <c r="N177">
        <v>18</v>
      </c>
      <c r="O177">
        <v>12132</v>
      </c>
      <c r="P177">
        <v>727.92</v>
      </c>
      <c r="Q177">
        <v>11404.08</v>
      </c>
      <c r="R177">
        <v>6.3393600000000001</v>
      </c>
      <c r="S177">
        <v>2696</v>
      </c>
      <c r="T177">
        <v>8708.08</v>
      </c>
    </row>
    <row r="178" spans="1:20" x14ac:dyDescent="0.35">
      <c r="A178" t="s">
        <v>29</v>
      </c>
      <c r="B178" t="s">
        <v>47</v>
      </c>
      <c r="C178" t="s">
        <v>55</v>
      </c>
      <c r="D178" t="s">
        <v>249</v>
      </c>
      <c r="E178" t="s">
        <v>57</v>
      </c>
      <c r="F178" t="s">
        <v>195</v>
      </c>
      <c r="G178" t="s">
        <v>108</v>
      </c>
      <c r="H178" s="1">
        <v>44038</v>
      </c>
      <c r="I178" t="s">
        <v>89</v>
      </c>
      <c r="J178" t="s">
        <v>28</v>
      </c>
      <c r="K178">
        <v>2020</v>
      </c>
      <c r="L178">
        <v>2436</v>
      </c>
      <c r="M178">
        <v>4</v>
      </c>
      <c r="N178">
        <v>23</v>
      </c>
      <c r="O178">
        <v>56028</v>
      </c>
      <c r="P178">
        <v>3361.68</v>
      </c>
      <c r="Q178">
        <v>52666.32</v>
      </c>
      <c r="R178">
        <v>28.623000000000001</v>
      </c>
      <c r="S178">
        <v>9744</v>
      </c>
      <c r="T178">
        <v>42922.32</v>
      </c>
    </row>
    <row r="179" spans="1:20" x14ac:dyDescent="0.35">
      <c r="A179" t="s">
        <v>37</v>
      </c>
      <c r="B179" t="s">
        <v>38</v>
      </c>
      <c r="C179" t="s">
        <v>31</v>
      </c>
      <c r="D179" t="s">
        <v>117</v>
      </c>
      <c r="E179" t="s">
        <v>33</v>
      </c>
      <c r="F179" t="s">
        <v>118</v>
      </c>
      <c r="G179" t="s">
        <v>108</v>
      </c>
      <c r="H179" s="1">
        <v>43891</v>
      </c>
      <c r="I179" t="s">
        <v>109</v>
      </c>
      <c r="J179" t="s">
        <v>36</v>
      </c>
      <c r="K179">
        <v>2020</v>
      </c>
      <c r="L179">
        <v>1795</v>
      </c>
      <c r="M179">
        <v>12</v>
      </c>
      <c r="N179">
        <v>525</v>
      </c>
      <c r="O179">
        <v>942375</v>
      </c>
      <c r="P179">
        <v>56542.5</v>
      </c>
      <c r="Q179">
        <v>885832.5</v>
      </c>
      <c r="R179">
        <v>492.18400000000003</v>
      </c>
      <c r="S179">
        <v>21540</v>
      </c>
      <c r="T179">
        <v>864292.5</v>
      </c>
    </row>
    <row r="180" spans="1:20" x14ac:dyDescent="0.35">
      <c r="A180" t="s">
        <v>20</v>
      </c>
      <c r="B180" t="s">
        <v>42</v>
      </c>
      <c r="C180" t="s">
        <v>43</v>
      </c>
      <c r="D180" t="s">
        <v>185</v>
      </c>
      <c r="E180" t="s">
        <v>45</v>
      </c>
      <c r="F180" t="s">
        <v>186</v>
      </c>
      <c r="G180" t="s">
        <v>108</v>
      </c>
      <c r="H180" s="1">
        <v>44060</v>
      </c>
      <c r="I180" t="s">
        <v>41</v>
      </c>
      <c r="J180" t="s">
        <v>28</v>
      </c>
      <c r="K180">
        <v>2020</v>
      </c>
      <c r="L180">
        <v>3306</v>
      </c>
      <c r="M180">
        <v>148</v>
      </c>
      <c r="N180">
        <v>188</v>
      </c>
      <c r="O180">
        <v>621528</v>
      </c>
      <c r="P180">
        <v>37291.68</v>
      </c>
      <c r="Q180">
        <v>584236.31999999995</v>
      </c>
      <c r="R180">
        <v>323.71249999999998</v>
      </c>
      <c r="S180">
        <v>489288</v>
      </c>
      <c r="T180">
        <v>94948.319999999949</v>
      </c>
    </row>
    <row r="181" spans="1:20" x14ac:dyDescent="0.35">
      <c r="A181" t="s">
        <v>37</v>
      </c>
      <c r="B181" t="s">
        <v>84</v>
      </c>
      <c r="C181" t="s">
        <v>43</v>
      </c>
      <c r="D181" t="s">
        <v>131</v>
      </c>
      <c r="E181" t="s">
        <v>45</v>
      </c>
      <c r="F181" t="s">
        <v>132</v>
      </c>
      <c r="G181" t="s">
        <v>108</v>
      </c>
      <c r="H181" s="1">
        <v>43965</v>
      </c>
      <c r="I181" t="s">
        <v>77</v>
      </c>
      <c r="J181" t="s">
        <v>78</v>
      </c>
      <c r="K181">
        <v>2020</v>
      </c>
      <c r="L181">
        <v>1795</v>
      </c>
      <c r="M181">
        <v>148</v>
      </c>
      <c r="N181">
        <v>525</v>
      </c>
      <c r="O181">
        <v>942375</v>
      </c>
      <c r="P181">
        <v>56542.5</v>
      </c>
      <c r="Q181">
        <v>885832.5</v>
      </c>
      <c r="R181">
        <v>492.18400000000003</v>
      </c>
      <c r="S181">
        <v>265660</v>
      </c>
      <c r="T181">
        <v>620172.5</v>
      </c>
    </row>
    <row r="182" spans="1:20" x14ac:dyDescent="0.35">
      <c r="A182" t="s">
        <v>29</v>
      </c>
      <c r="B182" t="s">
        <v>21</v>
      </c>
      <c r="C182" t="s">
        <v>48</v>
      </c>
      <c r="D182" t="s">
        <v>250</v>
      </c>
      <c r="E182" t="s">
        <v>50</v>
      </c>
      <c r="F182" t="s">
        <v>159</v>
      </c>
      <c r="G182" t="s">
        <v>108</v>
      </c>
      <c r="H182" s="1">
        <v>44156</v>
      </c>
      <c r="I182" t="s">
        <v>60</v>
      </c>
      <c r="J182" t="s">
        <v>61</v>
      </c>
      <c r="K182">
        <v>2020</v>
      </c>
      <c r="L182">
        <v>3413</v>
      </c>
      <c r="M182">
        <v>308</v>
      </c>
      <c r="N182">
        <v>23</v>
      </c>
      <c r="O182">
        <v>78499</v>
      </c>
      <c r="P182">
        <v>4709.9399999999996</v>
      </c>
      <c r="Q182">
        <v>73789.06</v>
      </c>
      <c r="R182">
        <v>40.1004</v>
      </c>
      <c r="S182">
        <v>1051204</v>
      </c>
      <c r="T182">
        <v>-977414.94</v>
      </c>
    </row>
    <row r="183" spans="1:20" x14ac:dyDescent="0.35">
      <c r="A183" t="s">
        <v>37</v>
      </c>
      <c r="B183" t="s">
        <v>30</v>
      </c>
      <c r="C183" t="s">
        <v>48</v>
      </c>
      <c r="D183" t="s">
        <v>231</v>
      </c>
      <c r="E183" t="s">
        <v>50</v>
      </c>
      <c r="F183" t="s">
        <v>232</v>
      </c>
      <c r="G183" t="s">
        <v>108</v>
      </c>
      <c r="H183" s="1">
        <v>43905</v>
      </c>
      <c r="I183" t="s">
        <v>109</v>
      </c>
      <c r="J183" t="s">
        <v>36</v>
      </c>
      <c r="K183">
        <v>2020</v>
      </c>
      <c r="L183">
        <v>1798</v>
      </c>
      <c r="M183">
        <v>308</v>
      </c>
      <c r="N183">
        <v>11</v>
      </c>
      <c r="O183">
        <v>19778</v>
      </c>
      <c r="P183">
        <v>1186.68</v>
      </c>
      <c r="Q183">
        <v>18591.32</v>
      </c>
      <c r="R183">
        <v>9.85684</v>
      </c>
      <c r="S183">
        <v>553784</v>
      </c>
      <c r="T183">
        <v>-535192.68000000005</v>
      </c>
    </row>
    <row r="184" spans="1:20" x14ac:dyDescent="0.35">
      <c r="A184" t="s">
        <v>37</v>
      </c>
      <c r="B184" t="s">
        <v>65</v>
      </c>
      <c r="C184" t="s">
        <v>102</v>
      </c>
      <c r="D184" t="s">
        <v>236</v>
      </c>
      <c r="E184" t="s">
        <v>104</v>
      </c>
      <c r="F184" t="s">
        <v>126</v>
      </c>
      <c r="G184" t="s">
        <v>108</v>
      </c>
      <c r="H184" s="1">
        <v>44153</v>
      </c>
      <c r="I184" t="s">
        <v>60</v>
      </c>
      <c r="J184" t="s">
        <v>61</v>
      </c>
      <c r="K184">
        <v>2020</v>
      </c>
      <c r="L184">
        <v>2015</v>
      </c>
      <c r="M184">
        <v>320</v>
      </c>
      <c r="N184">
        <v>525</v>
      </c>
      <c r="O184">
        <v>1057875</v>
      </c>
      <c r="P184">
        <v>63472.5</v>
      </c>
      <c r="Q184">
        <v>994402.5</v>
      </c>
      <c r="R184">
        <v>552.39099999999996</v>
      </c>
      <c r="S184">
        <v>644800</v>
      </c>
      <c r="T184">
        <v>349602.5</v>
      </c>
    </row>
    <row r="185" spans="1:20" x14ac:dyDescent="0.35">
      <c r="A185" t="s">
        <v>29</v>
      </c>
      <c r="B185" t="s">
        <v>30</v>
      </c>
      <c r="C185" t="s">
        <v>31</v>
      </c>
      <c r="D185" t="s">
        <v>82</v>
      </c>
      <c r="E185" t="s">
        <v>33</v>
      </c>
      <c r="F185" t="s">
        <v>83</v>
      </c>
      <c r="G185" t="s">
        <v>108</v>
      </c>
      <c r="H185" s="1">
        <v>44153</v>
      </c>
      <c r="I185" t="s">
        <v>60</v>
      </c>
      <c r="J185" t="s">
        <v>61</v>
      </c>
      <c r="K185">
        <v>2020</v>
      </c>
      <c r="L185">
        <v>1384</v>
      </c>
      <c r="M185">
        <v>12</v>
      </c>
      <c r="N185">
        <v>23</v>
      </c>
      <c r="O185">
        <v>31832</v>
      </c>
      <c r="P185">
        <v>1909.92</v>
      </c>
      <c r="Q185">
        <v>29922.080000000002</v>
      </c>
      <c r="R185">
        <v>16.257300000000001</v>
      </c>
      <c r="S185">
        <v>16608</v>
      </c>
      <c r="T185">
        <v>13314.080000000002</v>
      </c>
    </row>
    <row r="186" spans="1:20" x14ac:dyDescent="0.35">
      <c r="A186" t="s">
        <v>37</v>
      </c>
      <c r="B186" t="s">
        <v>42</v>
      </c>
      <c r="C186" t="s">
        <v>43</v>
      </c>
      <c r="D186" t="s">
        <v>87</v>
      </c>
      <c r="E186" t="s">
        <v>45</v>
      </c>
      <c r="F186" t="s">
        <v>88</v>
      </c>
      <c r="G186" t="s">
        <v>108</v>
      </c>
      <c r="H186" s="1">
        <v>43999</v>
      </c>
      <c r="I186" t="s">
        <v>144</v>
      </c>
      <c r="J186" t="s">
        <v>78</v>
      </c>
      <c r="K186">
        <v>2020</v>
      </c>
      <c r="L186">
        <v>1600</v>
      </c>
      <c r="M186">
        <v>148</v>
      </c>
      <c r="N186">
        <v>11</v>
      </c>
      <c r="O186">
        <v>17600</v>
      </c>
      <c r="P186">
        <v>1056</v>
      </c>
      <c r="Q186">
        <v>16544</v>
      </c>
      <c r="R186">
        <v>8.771139999999999</v>
      </c>
      <c r="S186">
        <v>236800</v>
      </c>
      <c r="T186">
        <v>-220256</v>
      </c>
    </row>
    <row r="187" spans="1:20" x14ac:dyDescent="0.35">
      <c r="A187" t="s">
        <v>79</v>
      </c>
      <c r="B187" t="s">
        <v>38</v>
      </c>
      <c r="C187" t="s">
        <v>55</v>
      </c>
      <c r="D187" t="s">
        <v>208</v>
      </c>
      <c r="E187" t="s">
        <v>57</v>
      </c>
      <c r="F187" t="s">
        <v>209</v>
      </c>
      <c r="G187" t="s">
        <v>108</v>
      </c>
      <c r="H187" s="1">
        <v>43945</v>
      </c>
      <c r="I187" t="s">
        <v>112</v>
      </c>
      <c r="J187" t="s">
        <v>78</v>
      </c>
      <c r="K187">
        <v>2020</v>
      </c>
      <c r="L187">
        <v>2261</v>
      </c>
      <c r="M187">
        <v>4</v>
      </c>
      <c r="N187">
        <v>18</v>
      </c>
      <c r="O187">
        <v>40698</v>
      </c>
      <c r="P187">
        <v>2848.8599999999997</v>
      </c>
      <c r="Q187">
        <v>37849.14</v>
      </c>
      <c r="R187">
        <v>21.02544</v>
      </c>
      <c r="S187">
        <v>9044</v>
      </c>
      <c r="T187">
        <v>28805.14</v>
      </c>
    </row>
    <row r="188" spans="1:20" x14ac:dyDescent="0.35">
      <c r="A188" t="s">
        <v>79</v>
      </c>
      <c r="B188" t="s">
        <v>21</v>
      </c>
      <c r="C188" t="s">
        <v>22</v>
      </c>
      <c r="D188" t="s">
        <v>251</v>
      </c>
      <c r="E188" t="s">
        <v>24</v>
      </c>
      <c r="F188" t="s">
        <v>188</v>
      </c>
      <c r="G188" t="s">
        <v>108</v>
      </c>
      <c r="H188" s="1">
        <v>44068</v>
      </c>
      <c r="I188" t="s">
        <v>41</v>
      </c>
      <c r="J188" t="s">
        <v>28</v>
      </c>
      <c r="K188">
        <v>2020</v>
      </c>
      <c r="L188">
        <v>2810</v>
      </c>
      <c r="M188">
        <v>6</v>
      </c>
      <c r="N188">
        <v>18</v>
      </c>
      <c r="O188">
        <v>50580</v>
      </c>
      <c r="P188">
        <v>3540.5999999999995</v>
      </c>
      <c r="Q188">
        <v>47039.4</v>
      </c>
      <c r="R188">
        <v>26.13672</v>
      </c>
      <c r="S188">
        <v>16860</v>
      </c>
      <c r="T188">
        <v>30179.4</v>
      </c>
    </row>
    <row r="189" spans="1:20" x14ac:dyDescent="0.35">
      <c r="A189" t="s">
        <v>29</v>
      </c>
      <c r="B189" t="s">
        <v>38</v>
      </c>
      <c r="C189" t="s">
        <v>43</v>
      </c>
      <c r="D189" t="s">
        <v>252</v>
      </c>
      <c r="E189" t="s">
        <v>45</v>
      </c>
      <c r="F189" t="s">
        <v>165</v>
      </c>
      <c r="G189" t="s">
        <v>108</v>
      </c>
      <c r="H189" s="1">
        <v>43939</v>
      </c>
      <c r="I189" t="s">
        <v>112</v>
      </c>
      <c r="J189" t="s">
        <v>78</v>
      </c>
      <c r="K189">
        <v>2020</v>
      </c>
      <c r="L189">
        <v>1514</v>
      </c>
      <c r="M189">
        <v>148</v>
      </c>
      <c r="N189">
        <v>23</v>
      </c>
      <c r="O189">
        <v>34822</v>
      </c>
      <c r="P189">
        <v>2437.54</v>
      </c>
      <c r="Q189">
        <v>32384.46</v>
      </c>
      <c r="R189">
        <v>17.604900000000001</v>
      </c>
      <c r="S189">
        <v>224072</v>
      </c>
      <c r="T189">
        <v>-191687.54</v>
      </c>
    </row>
    <row r="190" spans="1:20" x14ac:dyDescent="0.35">
      <c r="A190" t="s">
        <v>37</v>
      </c>
      <c r="B190" t="s">
        <v>47</v>
      </c>
      <c r="C190" t="s">
        <v>43</v>
      </c>
      <c r="D190" t="s">
        <v>233</v>
      </c>
      <c r="E190" t="s">
        <v>45</v>
      </c>
      <c r="F190" t="s">
        <v>234</v>
      </c>
      <c r="G190" t="s">
        <v>108</v>
      </c>
      <c r="H190" s="1">
        <v>43959</v>
      </c>
      <c r="I190" t="s">
        <v>77</v>
      </c>
      <c r="J190" t="s">
        <v>78</v>
      </c>
      <c r="K190">
        <v>2020</v>
      </c>
      <c r="L190">
        <v>1362</v>
      </c>
      <c r="M190">
        <v>148</v>
      </c>
      <c r="N190">
        <v>11</v>
      </c>
      <c r="O190">
        <v>14982</v>
      </c>
      <c r="P190">
        <v>1048.7399999999998</v>
      </c>
      <c r="Q190">
        <v>13933.26</v>
      </c>
      <c r="R190">
        <v>7.3888500000000006</v>
      </c>
      <c r="S190">
        <v>201576</v>
      </c>
      <c r="T190">
        <v>-187642.74</v>
      </c>
    </row>
    <row r="191" spans="1:20" x14ac:dyDescent="0.35">
      <c r="A191" t="s">
        <v>37</v>
      </c>
      <c r="B191" t="s">
        <v>47</v>
      </c>
      <c r="C191" t="s">
        <v>43</v>
      </c>
      <c r="D191" t="s">
        <v>233</v>
      </c>
      <c r="E191" t="s">
        <v>45</v>
      </c>
      <c r="F191" t="s">
        <v>234</v>
      </c>
      <c r="G191" t="s">
        <v>108</v>
      </c>
      <c r="H191" s="1">
        <v>43926</v>
      </c>
      <c r="I191" t="s">
        <v>112</v>
      </c>
      <c r="J191" t="s">
        <v>78</v>
      </c>
      <c r="K191">
        <v>2020</v>
      </c>
      <c r="L191">
        <v>1898</v>
      </c>
      <c r="M191">
        <v>148</v>
      </c>
      <c r="N191">
        <v>11</v>
      </c>
      <c r="O191">
        <v>20878</v>
      </c>
      <c r="P191">
        <v>1461.4599999999998</v>
      </c>
      <c r="Q191">
        <v>19416.54</v>
      </c>
      <c r="R191">
        <v>10.298819999999999</v>
      </c>
      <c r="S191">
        <v>280904</v>
      </c>
      <c r="T191">
        <v>-261487.46</v>
      </c>
    </row>
    <row r="192" spans="1:20" x14ac:dyDescent="0.35">
      <c r="A192" t="s">
        <v>37</v>
      </c>
      <c r="B192" t="s">
        <v>42</v>
      </c>
      <c r="C192" t="s">
        <v>102</v>
      </c>
      <c r="D192" t="s">
        <v>103</v>
      </c>
      <c r="E192" t="s">
        <v>104</v>
      </c>
      <c r="F192" t="s">
        <v>105</v>
      </c>
      <c r="G192" t="s">
        <v>108</v>
      </c>
      <c r="H192" s="1">
        <v>43986</v>
      </c>
      <c r="I192" t="s">
        <v>144</v>
      </c>
      <c r="J192" t="s">
        <v>78</v>
      </c>
      <c r="K192">
        <v>2020</v>
      </c>
      <c r="L192">
        <v>1362</v>
      </c>
      <c r="M192">
        <v>320</v>
      </c>
      <c r="N192">
        <v>11</v>
      </c>
      <c r="O192">
        <v>14982</v>
      </c>
      <c r="P192">
        <v>1048.7399999999998</v>
      </c>
      <c r="Q192">
        <v>13933.26</v>
      </c>
      <c r="R192">
        <v>7.3888500000000006</v>
      </c>
      <c r="S192">
        <v>435840</v>
      </c>
      <c r="T192">
        <v>-421906.74</v>
      </c>
    </row>
    <row r="193" spans="1:20" x14ac:dyDescent="0.35">
      <c r="A193" t="s">
        <v>53</v>
      </c>
      <c r="B193" t="s">
        <v>65</v>
      </c>
      <c r="C193" t="s">
        <v>55</v>
      </c>
      <c r="D193" t="s">
        <v>253</v>
      </c>
      <c r="E193" t="s">
        <v>57</v>
      </c>
      <c r="F193" t="s">
        <v>126</v>
      </c>
      <c r="G193" t="s">
        <v>108</v>
      </c>
      <c r="H193" s="1">
        <v>44036</v>
      </c>
      <c r="I193" t="s">
        <v>89</v>
      </c>
      <c r="J193" t="s">
        <v>28</v>
      </c>
      <c r="K193">
        <v>2020</v>
      </c>
      <c r="L193">
        <v>2617</v>
      </c>
      <c r="M193">
        <v>4</v>
      </c>
      <c r="N193">
        <v>450</v>
      </c>
      <c r="O193">
        <v>1177650</v>
      </c>
      <c r="P193">
        <v>82435.500000000015</v>
      </c>
      <c r="Q193">
        <v>1095214.5</v>
      </c>
      <c r="R193">
        <v>608.49900000000002</v>
      </c>
      <c r="S193">
        <v>10468</v>
      </c>
      <c r="T193">
        <v>1084746.5</v>
      </c>
    </row>
    <row r="194" spans="1:20" x14ac:dyDescent="0.35">
      <c r="A194" t="s">
        <v>37</v>
      </c>
      <c r="B194" t="s">
        <v>54</v>
      </c>
      <c r="C194" t="s">
        <v>22</v>
      </c>
      <c r="D194" t="s">
        <v>226</v>
      </c>
      <c r="E194" t="s">
        <v>24</v>
      </c>
      <c r="F194" t="s">
        <v>227</v>
      </c>
      <c r="G194" t="s">
        <v>108</v>
      </c>
      <c r="H194" s="1">
        <v>44098</v>
      </c>
      <c r="I194" t="s">
        <v>27</v>
      </c>
      <c r="J194" t="s">
        <v>28</v>
      </c>
      <c r="K194">
        <v>2020</v>
      </c>
      <c r="L194">
        <v>2371</v>
      </c>
      <c r="M194">
        <v>6</v>
      </c>
      <c r="N194">
        <v>30</v>
      </c>
      <c r="O194">
        <v>71130</v>
      </c>
      <c r="P194">
        <v>4979.1000000000004</v>
      </c>
      <c r="Q194">
        <v>66150.899999999994</v>
      </c>
      <c r="R194">
        <v>36.753599999999999</v>
      </c>
      <c r="S194">
        <v>14226</v>
      </c>
      <c r="T194">
        <v>51924.899999999994</v>
      </c>
    </row>
    <row r="195" spans="1:20" x14ac:dyDescent="0.35">
      <c r="A195" t="s">
        <v>20</v>
      </c>
      <c r="B195" t="s">
        <v>42</v>
      </c>
      <c r="C195" t="s">
        <v>31</v>
      </c>
      <c r="D195" t="s">
        <v>73</v>
      </c>
      <c r="E195" t="s">
        <v>33</v>
      </c>
      <c r="F195" t="s">
        <v>74</v>
      </c>
      <c r="G195" t="s">
        <v>108</v>
      </c>
      <c r="H195" s="1">
        <v>44113</v>
      </c>
      <c r="I195" t="s">
        <v>72</v>
      </c>
      <c r="J195" t="s">
        <v>61</v>
      </c>
      <c r="K195">
        <v>2020</v>
      </c>
      <c r="L195">
        <v>4216</v>
      </c>
      <c r="M195">
        <v>12</v>
      </c>
      <c r="N195">
        <v>188</v>
      </c>
      <c r="O195">
        <v>792608</v>
      </c>
      <c r="P195">
        <v>55482.560000000005</v>
      </c>
      <c r="Q195">
        <v>737125.44</v>
      </c>
      <c r="R195">
        <v>408.38625000000002</v>
      </c>
      <c r="S195">
        <v>50592</v>
      </c>
      <c r="T195">
        <v>686533.44</v>
      </c>
    </row>
    <row r="196" spans="1:20" x14ac:dyDescent="0.35">
      <c r="A196" t="s">
        <v>29</v>
      </c>
      <c r="B196" t="s">
        <v>30</v>
      </c>
      <c r="C196" t="s">
        <v>31</v>
      </c>
      <c r="D196" t="s">
        <v>32</v>
      </c>
      <c r="E196" t="s">
        <v>33</v>
      </c>
      <c r="F196" t="s">
        <v>34</v>
      </c>
      <c r="G196" t="s">
        <v>108</v>
      </c>
      <c r="H196" s="1">
        <v>43949</v>
      </c>
      <c r="I196" t="s">
        <v>112</v>
      </c>
      <c r="J196" t="s">
        <v>78</v>
      </c>
      <c r="K196">
        <v>2020</v>
      </c>
      <c r="L196">
        <v>2521</v>
      </c>
      <c r="M196">
        <v>12</v>
      </c>
      <c r="N196">
        <v>23</v>
      </c>
      <c r="O196">
        <v>57983</v>
      </c>
      <c r="P196">
        <v>4058.8100000000004</v>
      </c>
      <c r="Q196">
        <v>53924.19</v>
      </c>
      <c r="R196">
        <v>29.308949999999999</v>
      </c>
      <c r="S196">
        <v>30252</v>
      </c>
      <c r="T196">
        <v>23672.190000000002</v>
      </c>
    </row>
    <row r="197" spans="1:20" x14ac:dyDescent="0.35">
      <c r="A197" t="s">
        <v>37</v>
      </c>
      <c r="B197" t="s">
        <v>38</v>
      </c>
      <c r="C197" t="s">
        <v>31</v>
      </c>
      <c r="D197" t="s">
        <v>117</v>
      </c>
      <c r="E197" t="s">
        <v>33</v>
      </c>
      <c r="F197" t="s">
        <v>118</v>
      </c>
      <c r="G197" t="s">
        <v>108</v>
      </c>
      <c r="H197" s="1">
        <v>43896</v>
      </c>
      <c r="I197" t="s">
        <v>109</v>
      </c>
      <c r="J197" t="s">
        <v>36</v>
      </c>
      <c r="K197">
        <v>2020</v>
      </c>
      <c r="L197">
        <v>1842</v>
      </c>
      <c r="M197">
        <v>12</v>
      </c>
      <c r="N197">
        <v>30</v>
      </c>
      <c r="O197">
        <v>55260</v>
      </c>
      <c r="P197">
        <v>3868.2000000000003</v>
      </c>
      <c r="Q197">
        <v>51391.8</v>
      </c>
      <c r="R197">
        <v>28.550999999999998</v>
      </c>
      <c r="S197">
        <v>22104</v>
      </c>
      <c r="T197">
        <v>29287.800000000003</v>
      </c>
    </row>
    <row r="198" spans="1:20" x14ac:dyDescent="0.35">
      <c r="A198" t="s">
        <v>37</v>
      </c>
      <c r="B198" t="s">
        <v>42</v>
      </c>
      <c r="C198" t="s">
        <v>43</v>
      </c>
      <c r="D198" t="s">
        <v>87</v>
      </c>
      <c r="E198" t="s">
        <v>45</v>
      </c>
      <c r="F198" t="s">
        <v>88</v>
      </c>
      <c r="G198" t="s">
        <v>108</v>
      </c>
      <c r="H198" s="1">
        <v>44185</v>
      </c>
      <c r="I198" t="s">
        <v>64</v>
      </c>
      <c r="J198" t="s">
        <v>61</v>
      </c>
      <c r="K198">
        <v>2020</v>
      </c>
      <c r="L198">
        <v>731</v>
      </c>
      <c r="M198">
        <v>148</v>
      </c>
      <c r="N198">
        <v>30</v>
      </c>
      <c r="O198">
        <v>21930</v>
      </c>
      <c r="P198">
        <v>1535.1000000000001</v>
      </c>
      <c r="Q198">
        <v>20394.900000000001</v>
      </c>
      <c r="R198">
        <v>11.327399999999999</v>
      </c>
      <c r="S198">
        <v>108188</v>
      </c>
      <c r="T198">
        <v>-87793.1</v>
      </c>
    </row>
    <row r="199" spans="1:20" x14ac:dyDescent="0.35">
      <c r="A199" t="s">
        <v>20</v>
      </c>
      <c r="B199" t="s">
        <v>65</v>
      </c>
      <c r="C199" t="s">
        <v>43</v>
      </c>
      <c r="D199" t="s">
        <v>254</v>
      </c>
      <c r="E199" t="s">
        <v>45</v>
      </c>
      <c r="F199" t="s">
        <v>255</v>
      </c>
      <c r="G199" t="s">
        <v>108</v>
      </c>
      <c r="H199" s="1">
        <v>43933</v>
      </c>
      <c r="I199" t="s">
        <v>112</v>
      </c>
      <c r="J199" t="s">
        <v>78</v>
      </c>
      <c r="K199">
        <v>2020</v>
      </c>
      <c r="L199">
        <v>2504</v>
      </c>
      <c r="M199">
        <v>148</v>
      </c>
      <c r="N199">
        <v>188</v>
      </c>
      <c r="O199">
        <v>470752</v>
      </c>
      <c r="P199">
        <v>32952.640000000007</v>
      </c>
      <c r="Q199">
        <v>437799.36</v>
      </c>
      <c r="R199">
        <v>242.61375000000001</v>
      </c>
      <c r="S199">
        <v>370592</v>
      </c>
      <c r="T199">
        <v>67207.359999999986</v>
      </c>
    </row>
    <row r="200" spans="1:20" x14ac:dyDescent="0.35">
      <c r="A200" t="s">
        <v>53</v>
      </c>
      <c r="B200" t="s">
        <v>84</v>
      </c>
      <c r="C200" t="s">
        <v>43</v>
      </c>
      <c r="D200" t="s">
        <v>256</v>
      </c>
      <c r="E200" t="s">
        <v>45</v>
      </c>
      <c r="F200" t="s">
        <v>114</v>
      </c>
      <c r="G200" t="s">
        <v>108</v>
      </c>
      <c r="H200" s="1">
        <v>44041</v>
      </c>
      <c r="I200" t="s">
        <v>89</v>
      </c>
      <c r="J200" t="s">
        <v>28</v>
      </c>
      <c r="K200">
        <v>2020</v>
      </c>
      <c r="L200">
        <v>1646</v>
      </c>
      <c r="M200">
        <v>148</v>
      </c>
      <c r="N200">
        <v>450</v>
      </c>
      <c r="O200">
        <v>740700</v>
      </c>
      <c r="P200">
        <v>51849.000000000007</v>
      </c>
      <c r="Q200">
        <v>688851</v>
      </c>
      <c r="R200">
        <v>382.78800000000001</v>
      </c>
      <c r="S200">
        <v>243608</v>
      </c>
      <c r="T200">
        <v>445243</v>
      </c>
    </row>
    <row r="201" spans="1:20" x14ac:dyDescent="0.35">
      <c r="A201" t="s">
        <v>53</v>
      </c>
      <c r="B201" t="s">
        <v>21</v>
      </c>
      <c r="C201" t="s">
        <v>48</v>
      </c>
      <c r="D201" t="s">
        <v>257</v>
      </c>
      <c r="E201" t="s">
        <v>50</v>
      </c>
      <c r="F201" t="s">
        <v>258</v>
      </c>
      <c r="G201" t="s">
        <v>108</v>
      </c>
      <c r="H201" s="1">
        <v>43931</v>
      </c>
      <c r="I201" t="s">
        <v>112</v>
      </c>
      <c r="J201" t="s">
        <v>78</v>
      </c>
      <c r="K201">
        <v>2020</v>
      </c>
      <c r="L201">
        <v>3296</v>
      </c>
      <c r="M201">
        <v>308</v>
      </c>
      <c r="N201">
        <v>450</v>
      </c>
      <c r="O201">
        <v>1483200</v>
      </c>
      <c r="P201">
        <v>103824.00000000001</v>
      </c>
      <c r="Q201">
        <v>1379376</v>
      </c>
      <c r="R201">
        <v>766.41300000000001</v>
      </c>
      <c r="S201">
        <v>1015168</v>
      </c>
      <c r="T201">
        <v>364208</v>
      </c>
    </row>
    <row r="202" spans="1:20" x14ac:dyDescent="0.35">
      <c r="A202" t="s">
        <v>37</v>
      </c>
      <c r="B202" t="s">
        <v>42</v>
      </c>
      <c r="C202" t="s">
        <v>102</v>
      </c>
      <c r="D202" t="s">
        <v>103</v>
      </c>
      <c r="E202" t="s">
        <v>104</v>
      </c>
      <c r="F202" t="s">
        <v>105</v>
      </c>
      <c r="G202" t="s">
        <v>108</v>
      </c>
      <c r="H202" s="1">
        <v>44169</v>
      </c>
      <c r="I202" t="s">
        <v>64</v>
      </c>
      <c r="J202" t="s">
        <v>61</v>
      </c>
      <c r="K202">
        <v>2020</v>
      </c>
      <c r="L202">
        <v>1342</v>
      </c>
      <c r="M202">
        <v>320</v>
      </c>
      <c r="N202">
        <v>30</v>
      </c>
      <c r="O202">
        <v>40260</v>
      </c>
      <c r="P202">
        <v>2818.2000000000003</v>
      </c>
      <c r="Q202">
        <v>37441.800000000003</v>
      </c>
      <c r="R202">
        <v>20.794799999999999</v>
      </c>
      <c r="S202">
        <v>429440</v>
      </c>
      <c r="T202">
        <v>-391998.2</v>
      </c>
    </row>
    <row r="203" spans="1:20" x14ac:dyDescent="0.35">
      <c r="A203" t="s">
        <v>37</v>
      </c>
      <c r="B203" t="s">
        <v>54</v>
      </c>
      <c r="C203" t="s">
        <v>22</v>
      </c>
      <c r="D203" t="s">
        <v>214</v>
      </c>
      <c r="E203" t="s">
        <v>24</v>
      </c>
      <c r="F203" t="s">
        <v>215</v>
      </c>
      <c r="G203" t="s">
        <v>108</v>
      </c>
      <c r="H203" s="1">
        <v>44116</v>
      </c>
      <c r="I203" t="s">
        <v>72</v>
      </c>
      <c r="J203" t="s">
        <v>61</v>
      </c>
      <c r="K203">
        <v>2020</v>
      </c>
      <c r="L203">
        <v>1538</v>
      </c>
      <c r="M203">
        <v>6</v>
      </c>
      <c r="N203">
        <v>30</v>
      </c>
      <c r="O203">
        <v>46140</v>
      </c>
      <c r="P203">
        <v>3691.1999999999994</v>
      </c>
      <c r="Q203">
        <v>42448.800000000003</v>
      </c>
      <c r="R203">
        <v>23.588799999999999</v>
      </c>
      <c r="S203">
        <v>9228</v>
      </c>
      <c r="T203">
        <v>33220.800000000003</v>
      </c>
    </row>
    <row r="204" spans="1:20" x14ac:dyDescent="0.35">
      <c r="A204" t="s">
        <v>37</v>
      </c>
      <c r="B204" t="s">
        <v>38</v>
      </c>
      <c r="C204" t="s">
        <v>31</v>
      </c>
      <c r="D204" t="s">
        <v>39</v>
      </c>
      <c r="E204" t="s">
        <v>33</v>
      </c>
      <c r="F204" t="s">
        <v>40</v>
      </c>
      <c r="G204" t="s">
        <v>108</v>
      </c>
      <c r="H204" s="1">
        <v>44125</v>
      </c>
      <c r="I204" t="s">
        <v>72</v>
      </c>
      <c r="J204" t="s">
        <v>61</v>
      </c>
      <c r="K204">
        <v>2020</v>
      </c>
      <c r="L204">
        <v>308</v>
      </c>
      <c r="M204">
        <v>12</v>
      </c>
      <c r="N204">
        <v>11</v>
      </c>
      <c r="O204">
        <v>3388</v>
      </c>
      <c r="P204">
        <v>271.03999999999996</v>
      </c>
      <c r="Q204">
        <v>3116.96</v>
      </c>
      <c r="R204">
        <v>1.6550799999999999</v>
      </c>
      <c r="S204">
        <v>3696</v>
      </c>
      <c r="T204">
        <v>-579.04</v>
      </c>
    </row>
    <row r="205" spans="1:20" x14ac:dyDescent="0.35">
      <c r="A205" t="s">
        <v>37</v>
      </c>
      <c r="B205" t="s">
        <v>47</v>
      </c>
      <c r="C205" t="s">
        <v>102</v>
      </c>
      <c r="D205" t="s">
        <v>224</v>
      </c>
      <c r="E205" t="s">
        <v>104</v>
      </c>
      <c r="F205" t="s">
        <v>225</v>
      </c>
      <c r="G205" t="s">
        <v>108</v>
      </c>
      <c r="H205" s="1">
        <v>44106</v>
      </c>
      <c r="I205" t="s">
        <v>72</v>
      </c>
      <c r="J205" t="s">
        <v>61</v>
      </c>
      <c r="K205">
        <v>2020</v>
      </c>
      <c r="L205">
        <v>1538</v>
      </c>
      <c r="M205">
        <v>320</v>
      </c>
      <c r="N205">
        <v>30</v>
      </c>
      <c r="O205">
        <v>46140</v>
      </c>
      <c r="P205">
        <v>3691.1999999999994</v>
      </c>
      <c r="Q205">
        <v>42448.800000000003</v>
      </c>
      <c r="R205">
        <v>23.588799999999999</v>
      </c>
      <c r="S205">
        <v>492160</v>
      </c>
      <c r="T205">
        <v>-449711.2</v>
      </c>
    </row>
    <row r="206" spans="1:20" x14ac:dyDescent="0.35">
      <c r="A206" t="s">
        <v>20</v>
      </c>
      <c r="B206" t="s">
        <v>38</v>
      </c>
      <c r="C206" t="s">
        <v>55</v>
      </c>
      <c r="D206" t="s">
        <v>259</v>
      </c>
      <c r="E206" t="s">
        <v>57</v>
      </c>
      <c r="F206" t="s">
        <v>260</v>
      </c>
      <c r="G206" t="s">
        <v>108</v>
      </c>
      <c r="H206" s="1">
        <v>43982</v>
      </c>
      <c r="I206" t="s">
        <v>77</v>
      </c>
      <c r="J206" t="s">
        <v>78</v>
      </c>
      <c r="K206">
        <v>2020</v>
      </c>
      <c r="L206">
        <v>1848</v>
      </c>
      <c r="M206">
        <v>4</v>
      </c>
      <c r="N206">
        <v>188</v>
      </c>
      <c r="O206">
        <v>347424</v>
      </c>
      <c r="P206">
        <v>27793.920000000002</v>
      </c>
      <c r="Q206">
        <v>319630.08000000002</v>
      </c>
      <c r="R206">
        <v>177.1</v>
      </c>
      <c r="S206">
        <v>7392</v>
      </c>
      <c r="T206">
        <v>312238.08000000002</v>
      </c>
    </row>
    <row r="207" spans="1:20" x14ac:dyDescent="0.35">
      <c r="A207" t="s">
        <v>37</v>
      </c>
      <c r="B207" t="s">
        <v>30</v>
      </c>
      <c r="C207" t="s">
        <v>55</v>
      </c>
      <c r="D207" t="s">
        <v>206</v>
      </c>
      <c r="E207" t="s">
        <v>57</v>
      </c>
      <c r="F207" t="s">
        <v>207</v>
      </c>
      <c r="G207" t="s">
        <v>108</v>
      </c>
      <c r="H207" s="1">
        <v>43856</v>
      </c>
      <c r="I207" t="s">
        <v>35</v>
      </c>
      <c r="J207" t="s">
        <v>36</v>
      </c>
      <c r="K207">
        <v>2020</v>
      </c>
      <c r="L207">
        <v>1634</v>
      </c>
      <c r="M207">
        <v>4</v>
      </c>
      <c r="N207">
        <v>525</v>
      </c>
      <c r="O207">
        <v>857850</v>
      </c>
      <c r="P207">
        <v>68628</v>
      </c>
      <c r="Q207">
        <v>789222</v>
      </c>
      <c r="R207">
        <v>438.56400000000002</v>
      </c>
      <c r="S207">
        <v>6536</v>
      </c>
      <c r="T207">
        <v>782686</v>
      </c>
    </row>
    <row r="208" spans="1:20" x14ac:dyDescent="0.35">
      <c r="A208" t="s">
        <v>37</v>
      </c>
      <c r="B208" t="s">
        <v>54</v>
      </c>
      <c r="C208" t="s">
        <v>22</v>
      </c>
      <c r="D208" t="s">
        <v>96</v>
      </c>
      <c r="E208" t="s">
        <v>24</v>
      </c>
      <c r="F208" t="s">
        <v>97</v>
      </c>
      <c r="G208" t="s">
        <v>108</v>
      </c>
      <c r="H208" s="1">
        <v>44162</v>
      </c>
      <c r="I208" t="s">
        <v>60</v>
      </c>
      <c r="J208" t="s">
        <v>61</v>
      </c>
      <c r="K208">
        <v>2020</v>
      </c>
      <c r="L208">
        <v>850</v>
      </c>
      <c r="M208">
        <v>6</v>
      </c>
      <c r="N208">
        <v>30</v>
      </c>
      <c r="O208">
        <v>25500</v>
      </c>
      <c r="P208">
        <v>2040</v>
      </c>
      <c r="Q208">
        <v>23460</v>
      </c>
      <c r="R208">
        <v>13.027200000000001</v>
      </c>
      <c r="S208">
        <v>5100</v>
      </c>
      <c r="T208">
        <v>18360</v>
      </c>
    </row>
    <row r="209" spans="1:20" x14ac:dyDescent="0.35">
      <c r="A209" t="s">
        <v>37</v>
      </c>
      <c r="B209" t="s">
        <v>47</v>
      </c>
      <c r="C209" t="s">
        <v>31</v>
      </c>
      <c r="D209" t="s">
        <v>149</v>
      </c>
      <c r="E209" t="s">
        <v>33</v>
      </c>
      <c r="F209" t="s">
        <v>150</v>
      </c>
      <c r="G209" t="s">
        <v>108</v>
      </c>
      <c r="H209" s="1">
        <v>44102</v>
      </c>
      <c r="I209" t="s">
        <v>27</v>
      </c>
      <c r="J209" t="s">
        <v>28</v>
      </c>
      <c r="K209">
        <v>2020</v>
      </c>
      <c r="L209">
        <v>1314</v>
      </c>
      <c r="M209">
        <v>12</v>
      </c>
      <c r="N209">
        <v>11</v>
      </c>
      <c r="O209">
        <v>14454</v>
      </c>
      <c r="P209">
        <v>1156.32</v>
      </c>
      <c r="Q209">
        <v>13297.68</v>
      </c>
      <c r="R209">
        <v>7.0518000000000001</v>
      </c>
      <c r="S209">
        <v>15768</v>
      </c>
      <c r="T209">
        <v>-2470.3199999999997</v>
      </c>
    </row>
    <row r="210" spans="1:20" x14ac:dyDescent="0.35">
      <c r="A210" t="s">
        <v>37</v>
      </c>
      <c r="B210" t="s">
        <v>47</v>
      </c>
      <c r="C210" t="s">
        <v>31</v>
      </c>
      <c r="D210" t="s">
        <v>149</v>
      </c>
      <c r="E210" t="s">
        <v>33</v>
      </c>
      <c r="F210" t="s">
        <v>150</v>
      </c>
      <c r="G210" t="s">
        <v>108</v>
      </c>
      <c r="H210" s="1">
        <v>43894</v>
      </c>
      <c r="I210" t="s">
        <v>109</v>
      </c>
      <c r="J210" t="s">
        <v>36</v>
      </c>
      <c r="K210">
        <v>2020</v>
      </c>
      <c r="L210">
        <v>1639</v>
      </c>
      <c r="M210">
        <v>12</v>
      </c>
      <c r="N210">
        <v>30</v>
      </c>
      <c r="O210">
        <v>49170</v>
      </c>
      <c r="P210">
        <v>3933.6</v>
      </c>
      <c r="Q210">
        <v>45236.4</v>
      </c>
      <c r="R210">
        <v>25.134400000000003</v>
      </c>
      <c r="S210">
        <v>19668</v>
      </c>
      <c r="T210">
        <v>25568.400000000001</v>
      </c>
    </row>
    <row r="211" spans="1:20" x14ac:dyDescent="0.35">
      <c r="A211" t="s">
        <v>53</v>
      </c>
      <c r="B211" t="s">
        <v>54</v>
      </c>
      <c r="C211" t="s">
        <v>31</v>
      </c>
      <c r="D211" t="s">
        <v>241</v>
      </c>
      <c r="E211" t="s">
        <v>33</v>
      </c>
      <c r="F211" t="s">
        <v>242</v>
      </c>
      <c r="G211" t="s">
        <v>108</v>
      </c>
      <c r="H211" s="1">
        <v>44039</v>
      </c>
      <c r="I211" t="s">
        <v>89</v>
      </c>
      <c r="J211" t="s">
        <v>28</v>
      </c>
      <c r="K211">
        <v>2020</v>
      </c>
      <c r="L211">
        <v>2952</v>
      </c>
      <c r="M211">
        <v>12</v>
      </c>
      <c r="N211">
        <v>450</v>
      </c>
      <c r="O211">
        <v>1328400</v>
      </c>
      <c r="P211">
        <v>106272</v>
      </c>
      <c r="Q211">
        <v>1222128</v>
      </c>
      <c r="R211">
        <v>678.96</v>
      </c>
      <c r="S211">
        <v>35424</v>
      </c>
      <c r="T211">
        <v>1186704</v>
      </c>
    </row>
    <row r="212" spans="1:20" x14ac:dyDescent="0.35">
      <c r="A212" t="s">
        <v>37</v>
      </c>
      <c r="B212" t="s">
        <v>54</v>
      </c>
      <c r="C212" t="s">
        <v>31</v>
      </c>
      <c r="D212" t="s">
        <v>183</v>
      </c>
      <c r="E212" t="s">
        <v>33</v>
      </c>
      <c r="F212" t="s">
        <v>184</v>
      </c>
      <c r="G212" t="s">
        <v>108</v>
      </c>
      <c r="H212" s="1">
        <v>43911</v>
      </c>
      <c r="I212" t="s">
        <v>109</v>
      </c>
      <c r="J212" t="s">
        <v>36</v>
      </c>
      <c r="K212">
        <v>2020</v>
      </c>
      <c r="L212">
        <v>814</v>
      </c>
      <c r="M212">
        <v>12</v>
      </c>
      <c r="N212">
        <v>11</v>
      </c>
      <c r="O212">
        <v>8954</v>
      </c>
      <c r="P212">
        <v>716.32</v>
      </c>
      <c r="Q212">
        <v>8237.68</v>
      </c>
      <c r="R212">
        <v>4.36632</v>
      </c>
      <c r="S212">
        <v>9768</v>
      </c>
      <c r="T212">
        <v>-1530.3199999999997</v>
      </c>
    </row>
    <row r="213" spans="1:20" x14ac:dyDescent="0.35">
      <c r="A213" t="s">
        <v>37</v>
      </c>
      <c r="B213" t="s">
        <v>47</v>
      </c>
      <c r="C213" t="s">
        <v>31</v>
      </c>
      <c r="D213" t="s">
        <v>149</v>
      </c>
      <c r="E213" t="s">
        <v>33</v>
      </c>
      <c r="F213" t="s">
        <v>150</v>
      </c>
      <c r="G213" t="s">
        <v>108</v>
      </c>
      <c r="H213" s="1">
        <v>44141</v>
      </c>
      <c r="I213" t="s">
        <v>60</v>
      </c>
      <c r="J213" t="s">
        <v>61</v>
      </c>
      <c r="K213">
        <v>2020</v>
      </c>
      <c r="L213">
        <v>1918</v>
      </c>
      <c r="M213">
        <v>12</v>
      </c>
      <c r="N213">
        <v>11</v>
      </c>
      <c r="O213">
        <v>21098</v>
      </c>
      <c r="P213">
        <v>1687.8400000000001</v>
      </c>
      <c r="Q213">
        <v>19410.16</v>
      </c>
      <c r="R213">
        <v>10.291120000000001</v>
      </c>
      <c r="S213">
        <v>23016</v>
      </c>
      <c r="T213">
        <v>-3605.84</v>
      </c>
    </row>
    <row r="214" spans="1:20" x14ac:dyDescent="0.35">
      <c r="A214" t="s">
        <v>37</v>
      </c>
      <c r="B214" t="s">
        <v>47</v>
      </c>
      <c r="C214" t="s">
        <v>31</v>
      </c>
      <c r="D214" t="s">
        <v>149</v>
      </c>
      <c r="E214" t="s">
        <v>33</v>
      </c>
      <c r="F214" t="s">
        <v>150</v>
      </c>
      <c r="G214" t="s">
        <v>108</v>
      </c>
      <c r="H214" s="1">
        <v>43863</v>
      </c>
      <c r="I214" t="s">
        <v>52</v>
      </c>
      <c r="J214" t="s">
        <v>36</v>
      </c>
      <c r="K214">
        <v>2020</v>
      </c>
      <c r="L214">
        <v>2321</v>
      </c>
      <c r="M214">
        <v>12</v>
      </c>
      <c r="N214">
        <v>30</v>
      </c>
      <c r="O214">
        <v>69630</v>
      </c>
      <c r="P214">
        <v>5570.4000000000005</v>
      </c>
      <c r="Q214">
        <v>64059.6</v>
      </c>
      <c r="R214">
        <v>35.585599999999999</v>
      </c>
      <c r="S214">
        <v>27852</v>
      </c>
      <c r="T214">
        <v>36207.599999999999</v>
      </c>
    </row>
    <row r="215" spans="1:20" x14ac:dyDescent="0.35">
      <c r="A215" t="s">
        <v>37</v>
      </c>
      <c r="B215" t="s">
        <v>47</v>
      </c>
      <c r="C215" t="s">
        <v>31</v>
      </c>
      <c r="D215" t="s">
        <v>94</v>
      </c>
      <c r="E215" t="s">
        <v>33</v>
      </c>
      <c r="F215" t="s">
        <v>95</v>
      </c>
      <c r="G215" t="s">
        <v>108</v>
      </c>
      <c r="H215" s="1">
        <v>43842</v>
      </c>
      <c r="I215" t="s">
        <v>35</v>
      </c>
      <c r="J215" t="s">
        <v>36</v>
      </c>
      <c r="K215">
        <v>2020</v>
      </c>
      <c r="L215">
        <v>3592</v>
      </c>
      <c r="M215">
        <v>12</v>
      </c>
      <c r="N215">
        <v>30</v>
      </c>
      <c r="O215">
        <v>107760</v>
      </c>
      <c r="P215">
        <v>8620.7999999999993</v>
      </c>
      <c r="Q215">
        <v>99139.199999999997</v>
      </c>
      <c r="R215">
        <v>55.071199999999997</v>
      </c>
      <c r="S215">
        <v>43104</v>
      </c>
      <c r="T215">
        <v>56035.199999999997</v>
      </c>
    </row>
    <row r="216" spans="1:20" x14ac:dyDescent="0.35">
      <c r="A216" t="s">
        <v>79</v>
      </c>
      <c r="B216" t="s">
        <v>65</v>
      </c>
      <c r="C216" t="s">
        <v>43</v>
      </c>
      <c r="D216" t="s">
        <v>261</v>
      </c>
      <c r="E216" t="s">
        <v>45</v>
      </c>
      <c r="F216" t="s">
        <v>176</v>
      </c>
      <c r="G216" t="s">
        <v>108</v>
      </c>
      <c r="H216" s="1">
        <v>43955</v>
      </c>
      <c r="I216" t="s">
        <v>77</v>
      </c>
      <c r="J216" t="s">
        <v>78</v>
      </c>
      <c r="K216">
        <v>2020</v>
      </c>
      <c r="L216">
        <v>718</v>
      </c>
      <c r="M216">
        <v>148</v>
      </c>
      <c r="N216">
        <v>18</v>
      </c>
      <c r="O216">
        <v>12924</v>
      </c>
      <c r="P216">
        <v>1033.92</v>
      </c>
      <c r="Q216">
        <v>11890.08</v>
      </c>
      <c r="R216">
        <v>6.6019199999999998</v>
      </c>
      <c r="S216">
        <v>106264</v>
      </c>
      <c r="T216">
        <v>-94373.92</v>
      </c>
    </row>
    <row r="217" spans="1:20" x14ac:dyDescent="0.35">
      <c r="A217" t="s">
        <v>37</v>
      </c>
      <c r="B217" t="s">
        <v>38</v>
      </c>
      <c r="C217" t="s">
        <v>43</v>
      </c>
      <c r="D217" t="s">
        <v>262</v>
      </c>
      <c r="E217" t="s">
        <v>45</v>
      </c>
      <c r="F217" t="s">
        <v>263</v>
      </c>
      <c r="G217" t="s">
        <v>108</v>
      </c>
      <c r="H217" s="1">
        <v>44017</v>
      </c>
      <c r="I217" t="s">
        <v>89</v>
      </c>
      <c r="J217" t="s">
        <v>28</v>
      </c>
      <c r="K217">
        <v>2020</v>
      </c>
      <c r="L217">
        <v>2806</v>
      </c>
      <c r="M217">
        <v>148</v>
      </c>
      <c r="N217">
        <v>11</v>
      </c>
      <c r="O217">
        <v>30866</v>
      </c>
      <c r="P217">
        <v>2469.2800000000002</v>
      </c>
      <c r="Q217">
        <v>28396.720000000001</v>
      </c>
      <c r="R217">
        <v>15.056719999999999</v>
      </c>
      <c r="S217">
        <v>415288</v>
      </c>
      <c r="T217">
        <v>-386891.28</v>
      </c>
    </row>
    <row r="218" spans="1:20" x14ac:dyDescent="0.35">
      <c r="A218" t="s">
        <v>53</v>
      </c>
      <c r="B218" t="s">
        <v>21</v>
      </c>
      <c r="C218" t="s">
        <v>43</v>
      </c>
      <c r="D218" t="s">
        <v>264</v>
      </c>
      <c r="E218" t="s">
        <v>45</v>
      </c>
      <c r="F218" t="s">
        <v>265</v>
      </c>
      <c r="G218" t="s">
        <v>108</v>
      </c>
      <c r="H218" s="1">
        <v>44054</v>
      </c>
      <c r="I218" t="s">
        <v>41</v>
      </c>
      <c r="J218" t="s">
        <v>28</v>
      </c>
      <c r="K218">
        <v>2020</v>
      </c>
      <c r="L218">
        <v>762</v>
      </c>
      <c r="M218">
        <v>148</v>
      </c>
      <c r="N218">
        <v>450</v>
      </c>
      <c r="O218">
        <v>342900</v>
      </c>
      <c r="P218">
        <v>27432</v>
      </c>
      <c r="Q218">
        <v>315468</v>
      </c>
      <c r="R218">
        <v>175.26</v>
      </c>
      <c r="S218">
        <v>112776</v>
      </c>
      <c r="T218">
        <v>202692</v>
      </c>
    </row>
    <row r="219" spans="1:20" x14ac:dyDescent="0.35">
      <c r="A219" t="s">
        <v>37</v>
      </c>
      <c r="B219" t="s">
        <v>42</v>
      </c>
      <c r="C219" t="s">
        <v>102</v>
      </c>
      <c r="D219" t="s">
        <v>103</v>
      </c>
      <c r="E219" t="s">
        <v>104</v>
      </c>
      <c r="F219" t="s">
        <v>105</v>
      </c>
      <c r="G219" t="s">
        <v>108</v>
      </c>
      <c r="H219" s="1">
        <v>43940</v>
      </c>
      <c r="I219" t="s">
        <v>112</v>
      </c>
      <c r="J219" t="s">
        <v>78</v>
      </c>
      <c r="K219">
        <v>2020</v>
      </c>
      <c r="L219">
        <v>850</v>
      </c>
      <c r="M219">
        <v>320</v>
      </c>
      <c r="N219">
        <v>30</v>
      </c>
      <c r="O219">
        <v>25500</v>
      </c>
      <c r="P219">
        <v>2040</v>
      </c>
      <c r="Q219">
        <v>23460</v>
      </c>
      <c r="R219">
        <v>13.027200000000001</v>
      </c>
      <c r="S219">
        <v>272000</v>
      </c>
      <c r="T219">
        <v>-248540</v>
      </c>
    </row>
    <row r="220" spans="1:20" x14ac:dyDescent="0.35">
      <c r="A220" t="s">
        <v>37</v>
      </c>
      <c r="B220" t="s">
        <v>54</v>
      </c>
      <c r="C220" t="s">
        <v>22</v>
      </c>
      <c r="D220" t="s">
        <v>226</v>
      </c>
      <c r="E220" t="s">
        <v>24</v>
      </c>
      <c r="F220" t="s">
        <v>227</v>
      </c>
      <c r="G220" t="s">
        <v>108</v>
      </c>
      <c r="H220" s="1">
        <v>44075</v>
      </c>
      <c r="I220" t="s">
        <v>27</v>
      </c>
      <c r="J220" t="s">
        <v>28</v>
      </c>
      <c r="K220">
        <v>2020</v>
      </c>
      <c r="L220">
        <v>1999</v>
      </c>
      <c r="M220">
        <v>6</v>
      </c>
      <c r="N220">
        <v>525</v>
      </c>
      <c r="O220">
        <v>1049475</v>
      </c>
      <c r="P220">
        <v>94452.75</v>
      </c>
      <c r="Q220">
        <v>955022.25</v>
      </c>
      <c r="R220">
        <v>530.62099999999998</v>
      </c>
      <c r="S220">
        <v>11994</v>
      </c>
      <c r="T220">
        <v>943028.25</v>
      </c>
    </row>
    <row r="221" spans="1:20" x14ac:dyDescent="0.35">
      <c r="A221" t="s">
        <v>79</v>
      </c>
      <c r="B221" t="s">
        <v>84</v>
      </c>
      <c r="C221" t="s">
        <v>22</v>
      </c>
      <c r="D221" t="s">
        <v>192</v>
      </c>
      <c r="E221" t="s">
        <v>24</v>
      </c>
      <c r="F221" t="s">
        <v>114</v>
      </c>
      <c r="G221" t="s">
        <v>108</v>
      </c>
      <c r="H221" s="1">
        <v>44003</v>
      </c>
      <c r="I221" t="s">
        <v>144</v>
      </c>
      <c r="J221" t="s">
        <v>78</v>
      </c>
      <c r="K221">
        <v>2020</v>
      </c>
      <c r="L221">
        <v>2785</v>
      </c>
      <c r="M221">
        <v>6</v>
      </c>
      <c r="N221">
        <v>18</v>
      </c>
      <c r="O221">
        <v>50130</v>
      </c>
      <c r="P221">
        <v>4511.7</v>
      </c>
      <c r="Q221">
        <v>45618.3</v>
      </c>
      <c r="R221">
        <v>25.345320000000001</v>
      </c>
      <c r="S221">
        <v>16710</v>
      </c>
      <c r="T221">
        <v>28908.300000000003</v>
      </c>
    </row>
    <row r="222" spans="1:20" x14ac:dyDescent="0.35">
      <c r="A222" t="s">
        <v>20</v>
      </c>
      <c r="B222" t="s">
        <v>65</v>
      </c>
      <c r="C222" t="s">
        <v>22</v>
      </c>
      <c r="D222" t="s">
        <v>66</v>
      </c>
      <c r="E222" t="s">
        <v>24</v>
      </c>
      <c r="F222" t="s">
        <v>67</v>
      </c>
      <c r="G222" t="s">
        <v>108</v>
      </c>
      <c r="H222" s="1">
        <v>44128</v>
      </c>
      <c r="I222" t="s">
        <v>72</v>
      </c>
      <c r="J222" t="s">
        <v>61</v>
      </c>
      <c r="K222">
        <v>2020</v>
      </c>
      <c r="L222">
        <v>3356</v>
      </c>
      <c r="M222">
        <v>6</v>
      </c>
      <c r="N222">
        <v>188</v>
      </c>
      <c r="O222">
        <v>630928</v>
      </c>
      <c r="P222">
        <v>56783.519999999997</v>
      </c>
      <c r="Q222">
        <v>574144.48</v>
      </c>
      <c r="R222">
        <v>318.15875</v>
      </c>
      <c r="S222">
        <v>20136</v>
      </c>
      <c r="T222">
        <v>554008.48</v>
      </c>
    </row>
    <row r="223" spans="1:20" x14ac:dyDescent="0.35">
      <c r="A223" t="s">
        <v>53</v>
      </c>
      <c r="B223" t="s">
        <v>54</v>
      </c>
      <c r="C223" t="s">
        <v>31</v>
      </c>
      <c r="D223" t="s">
        <v>241</v>
      </c>
      <c r="E223" t="s">
        <v>33</v>
      </c>
      <c r="F223" t="s">
        <v>242</v>
      </c>
      <c r="G223" t="s">
        <v>108</v>
      </c>
      <c r="H223" s="1">
        <v>44041</v>
      </c>
      <c r="I223" t="s">
        <v>89</v>
      </c>
      <c r="J223" t="s">
        <v>28</v>
      </c>
      <c r="K223">
        <v>2020</v>
      </c>
      <c r="L223">
        <v>3078</v>
      </c>
      <c r="M223">
        <v>12</v>
      </c>
      <c r="N223">
        <v>450</v>
      </c>
      <c r="O223">
        <v>1385100</v>
      </c>
      <c r="P223">
        <v>124659</v>
      </c>
      <c r="Q223">
        <v>1260441</v>
      </c>
      <c r="R223">
        <v>700.245</v>
      </c>
      <c r="S223">
        <v>36936</v>
      </c>
      <c r="T223">
        <v>1223505</v>
      </c>
    </row>
    <row r="224" spans="1:20" x14ac:dyDescent="0.35">
      <c r="A224" t="s">
        <v>29</v>
      </c>
      <c r="B224" t="s">
        <v>30</v>
      </c>
      <c r="C224" t="s">
        <v>31</v>
      </c>
      <c r="D224" t="s">
        <v>82</v>
      </c>
      <c r="E224" t="s">
        <v>33</v>
      </c>
      <c r="F224" t="s">
        <v>83</v>
      </c>
      <c r="G224" t="s">
        <v>108</v>
      </c>
      <c r="H224" s="1">
        <v>44132</v>
      </c>
      <c r="I224" t="s">
        <v>72</v>
      </c>
      <c r="J224" t="s">
        <v>61</v>
      </c>
      <c r="K224">
        <v>2020</v>
      </c>
      <c r="L224">
        <v>4410</v>
      </c>
      <c r="M224">
        <v>12</v>
      </c>
      <c r="N224">
        <v>23</v>
      </c>
      <c r="O224">
        <v>101430</v>
      </c>
      <c r="P224">
        <v>9128.6999999999989</v>
      </c>
      <c r="Q224">
        <v>92301.3</v>
      </c>
      <c r="R224">
        <v>50.16375</v>
      </c>
      <c r="S224">
        <v>52920</v>
      </c>
      <c r="T224">
        <v>39381.300000000003</v>
      </c>
    </row>
    <row r="225" spans="1:20" x14ac:dyDescent="0.35">
      <c r="A225" t="s">
        <v>53</v>
      </c>
      <c r="B225" t="s">
        <v>84</v>
      </c>
      <c r="C225" t="s">
        <v>31</v>
      </c>
      <c r="D225" t="s">
        <v>220</v>
      </c>
      <c r="E225" t="s">
        <v>33</v>
      </c>
      <c r="F225" t="s">
        <v>221</v>
      </c>
      <c r="G225" t="s">
        <v>108</v>
      </c>
      <c r="H225" s="1">
        <v>44013</v>
      </c>
      <c r="I225" t="s">
        <v>89</v>
      </c>
      <c r="J225" t="s">
        <v>28</v>
      </c>
      <c r="K225">
        <v>2020</v>
      </c>
      <c r="L225">
        <v>1313</v>
      </c>
      <c r="M225">
        <v>12</v>
      </c>
      <c r="N225">
        <v>450</v>
      </c>
      <c r="O225">
        <v>590850</v>
      </c>
      <c r="P225">
        <v>53176.5</v>
      </c>
      <c r="Q225">
        <v>537673.5</v>
      </c>
      <c r="R225">
        <v>298.66199999999998</v>
      </c>
      <c r="S225">
        <v>15756</v>
      </c>
      <c r="T225">
        <v>521917.5</v>
      </c>
    </row>
    <row r="226" spans="1:20" x14ac:dyDescent="0.35">
      <c r="A226" t="s">
        <v>29</v>
      </c>
      <c r="B226" t="s">
        <v>30</v>
      </c>
      <c r="C226" t="s">
        <v>31</v>
      </c>
      <c r="D226" t="s">
        <v>32</v>
      </c>
      <c r="E226" t="s">
        <v>33</v>
      </c>
      <c r="F226" t="s">
        <v>34</v>
      </c>
      <c r="G226" t="s">
        <v>108</v>
      </c>
      <c r="H226" s="1">
        <v>44125</v>
      </c>
      <c r="I226" t="s">
        <v>72</v>
      </c>
      <c r="J226" t="s">
        <v>61</v>
      </c>
      <c r="K226">
        <v>2020</v>
      </c>
      <c r="L226">
        <v>1472</v>
      </c>
      <c r="M226">
        <v>12</v>
      </c>
      <c r="N226">
        <v>23</v>
      </c>
      <c r="O226">
        <v>33856</v>
      </c>
      <c r="P226">
        <v>3047.04</v>
      </c>
      <c r="Q226">
        <v>30808.959999999999</v>
      </c>
      <c r="R226">
        <v>16.748549999999998</v>
      </c>
      <c r="S226">
        <v>17664</v>
      </c>
      <c r="T226">
        <v>13144.96</v>
      </c>
    </row>
    <row r="227" spans="1:20" x14ac:dyDescent="0.35">
      <c r="A227" t="s">
        <v>53</v>
      </c>
      <c r="B227" t="s">
        <v>21</v>
      </c>
      <c r="C227" t="s">
        <v>31</v>
      </c>
      <c r="D227" t="s">
        <v>216</v>
      </c>
      <c r="E227" t="s">
        <v>33</v>
      </c>
      <c r="F227" t="s">
        <v>217</v>
      </c>
      <c r="G227" t="s">
        <v>108</v>
      </c>
      <c r="H227" s="1">
        <v>43986</v>
      </c>
      <c r="I227" t="s">
        <v>144</v>
      </c>
      <c r="J227" t="s">
        <v>78</v>
      </c>
      <c r="K227">
        <v>2020</v>
      </c>
      <c r="L227">
        <v>1589</v>
      </c>
      <c r="M227">
        <v>12</v>
      </c>
      <c r="N227">
        <v>450</v>
      </c>
      <c r="O227">
        <v>715050</v>
      </c>
      <c r="P227">
        <v>64354.5</v>
      </c>
      <c r="Q227">
        <v>650695.5</v>
      </c>
      <c r="R227">
        <v>361.452</v>
      </c>
      <c r="S227">
        <v>19068</v>
      </c>
      <c r="T227">
        <v>631627.5</v>
      </c>
    </row>
    <row r="228" spans="1:20" x14ac:dyDescent="0.35">
      <c r="A228" t="s">
        <v>20</v>
      </c>
      <c r="B228" t="s">
        <v>54</v>
      </c>
      <c r="C228" t="s">
        <v>31</v>
      </c>
      <c r="D228" t="s">
        <v>243</v>
      </c>
      <c r="E228" t="s">
        <v>33</v>
      </c>
      <c r="F228" t="s">
        <v>163</v>
      </c>
      <c r="G228" t="s">
        <v>108</v>
      </c>
      <c r="H228" s="1">
        <v>44038</v>
      </c>
      <c r="I228" t="s">
        <v>89</v>
      </c>
      <c r="J228" t="s">
        <v>28</v>
      </c>
      <c r="K228">
        <v>2020</v>
      </c>
      <c r="L228">
        <v>3356</v>
      </c>
      <c r="M228">
        <v>12</v>
      </c>
      <c r="N228">
        <v>188</v>
      </c>
      <c r="O228">
        <v>630928</v>
      </c>
      <c r="P228">
        <v>56783.519999999997</v>
      </c>
      <c r="Q228">
        <v>574144.48</v>
      </c>
      <c r="R228">
        <v>318.15875</v>
      </c>
      <c r="S228">
        <v>40272</v>
      </c>
      <c r="T228">
        <v>533872.48</v>
      </c>
    </row>
    <row r="229" spans="1:20" x14ac:dyDescent="0.35">
      <c r="A229" t="s">
        <v>37</v>
      </c>
      <c r="B229" t="s">
        <v>38</v>
      </c>
      <c r="C229" t="s">
        <v>43</v>
      </c>
      <c r="D229" t="s">
        <v>262</v>
      </c>
      <c r="E229" t="s">
        <v>45</v>
      </c>
      <c r="F229" t="s">
        <v>263</v>
      </c>
      <c r="G229" t="s">
        <v>108</v>
      </c>
      <c r="H229" s="1">
        <v>43882</v>
      </c>
      <c r="I229" t="s">
        <v>52</v>
      </c>
      <c r="J229" t="s">
        <v>36</v>
      </c>
      <c r="K229">
        <v>2020</v>
      </c>
      <c r="L229">
        <v>1568</v>
      </c>
      <c r="M229">
        <v>148</v>
      </c>
      <c r="N229">
        <v>525</v>
      </c>
      <c r="O229">
        <v>823200</v>
      </c>
      <c r="P229">
        <v>74088</v>
      </c>
      <c r="Q229">
        <v>749112</v>
      </c>
      <c r="R229">
        <v>416.27949999999998</v>
      </c>
      <c r="S229">
        <v>232064</v>
      </c>
      <c r="T229">
        <v>517048</v>
      </c>
    </row>
    <row r="230" spans="1:20" x14ac:dyDescent="0.35">
      <c r="A230" t="s">
        <v>20</v>
      </c>
      <c r="B230" t="s">
        <v>42</v>
      </c>
      <c r="C230" t="s">
        <v>43</v>
      </c>
      <c r="D230" t="s">
        <v>44</v>
      </c>
      <c r="E230" t="s">
        <v>45</v>
      </c>
      <c r="F230" t="s">
        <v>46</v>
      </c>
      <c r="G230" t="s">
        <v>108</v>
      </c>
      <c r="H230" s="1">
        <v>44159</v>
      </c>
      <c r="I230" t="s">
        <v>60</v>
      </c>
      <c r="J230" t="s">
        <v>61</v>
      </c>
      <c r="K230">
        <v>2020</v>
      </c>
      <c r="L230">
        <v>680</v>
      </c>
      <c r="M230">
        <v>148</v>
      </c>
      <c r="N230">
        <v>188</v>
      </c>
      <c r="O230">
        <v>127840</v>
      </c>
      <c r="P230">
        <v>11505.6</v>
      </c>
      <c r="Q230">
        <v>116334.39999999999</v>
      </c>
      <c r="R230">
        <v>64.496250000000003</v>
      </c>
      <c r="S230">
        <v>100640</v>
      </c>
      <c r="T230">
        <v>15694.399999999994</v>
      </c>
    </row>
    <row r="231" spans="1:20" x14ac:dyDescent="0.35">
      <c r="A231" t="s">
        <v>20</v>
      </c>
      <c r="B231" t="s">
        <v>84</v>
      </c>
      <c r="C231" t="s">
        <v>43</v>
      </c>
      <c r="D231" t="s">
        <v>85</v>
      </c>
      <c r="E231" t="s">
        <v>45</v>
      </c>
      <c r="F231" t="s">
        <v>86</v>
      </c>
      <c r="G231" t="s">
        <v>108</v>
      </c>
      <c r="H231" s="1">
        <v>43852</v>
      </c>
      <c r="I231" t="s">
        <v>35</v>
      </c>
      <c r="J231" t="s">
        <v>36</v>
      </c>
      <c r="K231">
        <v>2020</v>
      </c>
      <c r="L231">
        <v>2532</v>
      </c>
      <c r="M231">
        <v>148</v>
      </c>
      <c r="N231">
        <v>188</v>
      </c>
      <c r="O231">
        <v>476016</v>
      </c>
      <c r="P231">
        <v>42841.439999999995</v>
      </c>
      <c r="Q231">
        <v>433174.56</v>
      </c>
      <c r="R231">
        <v>240.01249999999999</v>
      </c>
      <c r="S231">
        <v>374736</v>
      </c>
      <c r="T231">
        <v>58438.559999999998</v>
      </c>
    </row>
    <row r="232" spans="1:20" x14ac:dyDescent="0.35">
      <c r="A232" t="s">
        <v>79</v>
      </c>
      <c r="B232" t="s">
        <v>54</v>
      </c>
      <c r="C232" t="s">
        <v>48</v>
      </c>
      <c r="D232" t="s">
        <v>266</v>
      </c>
      <c r="E232" t="s">
        <v>50</v>
      </c>
      <c r="F232" t="s">
        <v>215</v>
      </c>
      <c r="G232" t="s">
        <v>108</v>
      </c>
      <c r="H232" s="1">
        <v>44157</v>
      </c>
      <c r="I232" t="s">
        <v>60</v>
      </c>
      <c r="J232" t="s">
        <v>61</v>
      </c>
      <c r="K232">
        <v>2020</v>
      </c>
      <c r="L232">
        <v>2347</v>
      </c>
      <c r="M232">
        <v>308</v>
      </c>
      <c r="N232">
        <v>18</v>
      </c>
      <c r="O232">
        <v>42246</v>
      </c>
      <c r="P232">
        <v>3802.14</v>
      </c>
      <c r="Q232">
        <v>38443.86</v>
      </c>
      <c r="R232">
        <v>21.35952</v>
      </c>
      <c r="S232">
        <v>722876</v>
      </c>
      <c r="T232">
        <v>-684432.14</v>
      </c>
    </row>
    <row r="233" spans="1:20" x14ac:dyDescent="0.35">
      <c r="A233" t="s">
        <v>79</v>
      </c>
      <c r="B233" t="s">
        <v>54</v>
      </c>
      <c r="C233" t="s">
        <v>48</v>
      </c>
      <c r="D233" t="s">
        <v>139</v>
      </c>
      <c r="E233" t="s">
        <v>50</v>
      </c>
      <c r="F233" t="s">
        <v>140</v>
      </c>
      <c r="G233" t="s">
        <v>108</v>
      </c>
      <c r="H233" s="1">
        <v>44142</v>
      </c>
      <c r="I233" t="s">
        <v>60</v>
      </c>
      <c r="J233" t="s">
        <v>61</v>
      </c>
      <c r="K233">
        <v>2020</v>
      </c>
      <c r="L233">
        <v>1056</v>
      </c>
      <c r="M233">
        <v>308</v>
      </c>
      <c r="N233">
        <v>18</v>
      </c>
      <c r="O233">
        <v>19008</v>
      </c>
      <c r="P233">
        <v>1710.72</v>
      </c>
      <c r="Q233">
        <v>17297.28</v>
      </c>
      <c r="R233">
        <v>9.6096000000000004</v>
      </c>
      <c r="S233">
        <v>325248</v>
      </c>
      <c r="T233">
        <v>-307950.71999999997</v>
      </c>
    </row>
    <row r="234" spans="1:20" x14ac:dyDescent="0.35">
      <c r="A234" t="s">
        <v>53</v>
      </c>
      <c r="B234" t="s">
        <v>54</v>
      </c>
      <c r="C234" t="s">
        <v>48</v>
      </c>
      <c r="D234" t="s">
        <v>267</v>
      </c>
      <c r="E234" t="s">
        <v>50</v>
      </c>
      <c r="F234" t="s">
        <v>215</v>
      </c>
      <c r="G234" t="s">
        <v>108</v>
      </c>
      <c r="H234" s="1">
        <v>43854</v>
      </c>
      <c r="I234" t="s">
        <v>35</v>
      </c>
      <c r="J234" t="s">
        <v>36</v>
      </c>
      <c r="K234">
        <v>2020</v>
      </c>
      <c r="L234">
        <v>2240</v>
      </c>
      <c r="M234">
        <v>308</v>
      </c>
      <c r="N234">
        <v>450</v>
      </c>
      <c r="O234">
        <v>1008000</v>
      </c>
      <c r="P234">
        <v>90720</v>
      </c>
      <c r="Q234">
        <v>917280</v>
      </c>
      <c r="R234">
        <v>509.69099999999997</v>
      </c>
      <c r="S234">
        <v>689920</v>
      </c>
      <c r="T234">
        <v>227360</v>
      </c>
    </row>
    <row r="235" spans="1:20" x14ac:dyDescent="0.35">
      <c r="A235" t="s">
        <v>37</v>
      </c>
      <c r="B235" t="s">
        <v>42</v>
      </c>
      <c r="C235" t="s">
        <v>102</v>
      </c>
      <c r="D235" t="s">
        <v>103</v>
      </c>
      <c r="E235" t="s">
        <v>104</v>
      </c>
      <c r="F235" t="s">
        <v>105</v>
      </c>
      <c r="G235" t="s">
        <v>108</v>
      </c>
      <c r="H235" s="1">
        <v>43927</v>
      </c>
      <c r="I235" t="s">
        <v>112</v>
      </c>
      <c r="J235" t="s">
        <v>78</v>
      </c>
      <c r="K235">
        <v>2020</v>
      </c>
      <c r="L235">
        <v>1523</v>
      </c>
      <c r="M235">
        <v>320</v>
      </c>
      <c r="N235">
        <v>525</v>
      </c>
      <c r="O235">
        <v>799575</v>
      </c>
      <c r="P235">
        <v>71961.75</v>
      </c>
      <c r="Q235">
        <v>727613.25</v>
      </c>
      <c r="R235">
        <v>404.17649999999998</v>
      </c>
      <c r="S235">
        <v>487360</v>
      </c>
      <c r="T235">
        <v>240253.25</v>
      </c>
    </row>
    <row r="236" spans="1:20" x14ac:dyDescent="0.35">
      <c r="A236" t="s">
        <v>37</v>
      </c>
      <c r="B236" t="s">
        <v>65</v>
      </c>
      <c r="C236" t="s">
        <v>102</v>
      </c>
      <c r="D236" t="s">
        <v>236</v>
      </c>
      <c r="E236" t="s">
        <v>104</v>
      </c>
      <c r="F236" t="s">
        <v>126</v>
      </c>
      <c r="G236" t="s">
        <v>108</v>
      </c>
      <c r="H236" s="1">
        <v>43939</v>
      </c>
      <c r="I236" t="s">
        <v>112</v>
      </c>
      <c r="J236" t="s">
        <v>78</v>
      </c>
      <c r="K236">
        <v>2020</v>
      </c>
      <c r="L236">
        <v>2033</v>
      </c>
      <c r="M236">
        <v>320</v>
      </c>
      <c r="N236">
        <v>30</v>
      </c>
      <c r="O236">
        <v>60990</v>
      </c>
      <c r="P236">
        <v>5489.0999999999995</v>
      </c>
      <c r="Q236">
        <v>55500.9</v>
      </c>
      <c r="R236">
        <v>30.8308</v>
      </c>
      <c r="S236">
        <v>650560</v>
      </c>
      <c r="T236">
        <v>-595059.1</v>
      </c>
    </row>
    <row r="237" spans="1:20" x14ac:dyDescent="0.35">
      <c r="A237" t="s">
        <v>37</v>
      </c>
      <c r="B237" t="s">
        <v>47</v>
      </c>
      <c r="C237" t="s">
        <v>55</v>
      </c>
      <c r="D237" t="s">
        <v>172</v>
      </c>
      <c r="E237" t="s">
        <v>57</v>
      </c>
      <c r="F237" t="s">
        <v>173</v>
      </c>
      <c r="G237" t="s">
        <v>108</v>
      </c>
      <c r="H237" s="1">
        <v>44133</v>
      </c>
      <c r="I237" t="s">
        <v>72</v>
      </c>
      <c r="J237" t="s">
        <v>61</v>
      </c>
      <c r="K237">
        <v>2020</v>
      </c>
      <c r="L237">
        <v>796</v>
      </c>
      <c r="M237">
        <v>4</v>
      </c>
      <c r="N237">
        <v>30</v>
      </c>
      <c r="O237">
        <v>23880</v>
      </c>
      <c r="P237">
        <v>2149.2000000000003</v>
      </c>
      <c r="Q237">
        <v>21730.799999999999</v>
      </c>
      <c r="R237">
        <v>12.066600000000001</v>
      </c>
      <c r="S237">
        <v>3184</v>
      </c>
      <c r="T237">
        <v>18546.8</v>
      </c>
    </row>
    <row r="238" spans="1:20" x14ac:dyDescent="0.35">
      <c r="A238" t="s">
        <v>37</v>
      </c>
      <c r="B238" t="s">
        <v>30</v>
      </c>
      <c r="C238" t="s">
        <v>55</v>
      </c>
      <c r="D238" t="s">
        <v>189</v>
      </c>
      <c r="E238" t="s">
        <v>57</v>
      </c>
      <c r="F238" t="s">
        <v>128</v>
      </c>
      <c r="G238" t="s">
        <v>108</v>
      </c>
      <c r="H238" s="1">
        <v>44087</v>
      </c>
      <c r="I238" t="s">
        <v>27</v>
      </c>
      <c r="J238" t="s">
        <v>28</v>
      </c>
      <c r="K238">
        <v>2020</v>
      </c>
      <c r="L238">
        <v>983</v>
      </c>
      <c r="M238">
        <v>4</v>
      </c>
      <c r="N238">
        <v>11</v>
      </c>
      <c r="O238">
        <v>10813</v>
      </c>
      <c r="P238">
        <v>973.17000000000007</v>
      </c>
      <c r="Q238">
        <v>9839.83</v>
      </c>
      <c r="R238">
        <v>5.2170299999999994</v>
      </c>
      <c r="S238">
        <v>3932</v>
      </c>
      <c r="T238">
        <v>5907.83</v>
      </c>
    </row>
    <row r="239" spans="1:20" x14ac:dyDescent="0.35">
      <c r="A239" t="s">
        <v>37</v>
      </c>
      <c r="B239" t="s">
        <v>30</v>
      </c>
      <c r="C239" t="s">
        <v>55</v>
      </c>
      <c r="D239" t="s">
        <v>206</v>
      </c>
      <c r="E239" t="s">
        <v>57</v>
      </c>
      <c r="F239" t="s">
        <v>207</v>
      </c>
      <c r="G239" t="s">
        <v>108</v>
      </c>
      <c r="H239" s="1">
        <v>44130</v>
      </c>
      <c r="I239" t="s">
        <v>72</v>
      </c>
      <c r="J239" t="s">
        <v>61</v>
      </c>
      <c r="K239">
        <v>2020</v>
      </c>
      <c r="L239">
        <v>625</v>
      </c>
      <c r="M239">
        <v>4</v>
      </c>
      <c r="N239">
        <v>11</v>
      </c>
      <c r="O239">
        <v>6875</v>
      </c>
      <c r="P239">
        <v>618.75000000000011</v>
      </c>
      <c r="Q239">
        <v>6256.25</v>
      </c>
      <c r="R239">
        <v>3.3187699999999998</v>
      </c>
      <c r="S239">
        <v>2500</v>
      </c>
      <c r="T239">
        <v>3756.25</v>
      </c>
    </row>
    <row r="240" spans="1:20" x14ac:dyDescent="0.35">
      <c r="A240" t="s">
        <v>37</v>
      </c>
      <c r="B240" t="s">
        <v>54</v>
      </c>
      <c r="C240" t="s">
        <v>31</v>
      </c>
      <c r="D240" t="s">
        <v>183</v>
      </c>
      <c r="E240" t="s">
        <v>33</v>
      </c>
      <c r="F240" t="s">
        <v>184</v>
      </c>
      <c r="G240" t="s">
        <v>108</v>
      </c>
      <c r="H240" s="1">
        <v>43836</v>
      </c>
      <c r="I240" t="s">
        <v>35</v>
      </c>
      <c r="J240" t="s">
        <v>36</v>
      </c>
      <c r="K240">
        <v>2020</v>
      </c>
      <c r="L240">
        <v>1168</v>
      </c>
      <c r="M240">
        <v>12</v>
      </c>
      <c r="N240">
        <v>30</v>
      </c>
      <c r="O240">
        <v>35040</v>
      </c>
      <c r="P240">
        <v>3153.6000000000004</v>
      </c>
      <c r="Q240">
        <v>31886.400000000001</v>
      </c>
      <c r="R240">
        <v>17.708599999999997</v>
      </c>
      <c r="S240">
        <v>14016</v>
      </c>
      <c r="T240">
        <v>17870.400000000001</v>
      </c>
    </row>
    <row r="241" spans="1:20" x14ac:dyDescent="0.35">
      <c r="A241" t="s">
        <v>37</v>
      </c>
      <c r="B241" t="s">
        <v>47</v>
      </c>
      <c r="C241" t="s">
        <v>31</v>
      </c>
      <c r="D241" t="s">
        <v>149</v>
      </c>
      <c r="E241" t="s">
        <v>33</v>
      </c>
      <c r="F241" t="s">
        <v>150</v>
      </c>
      <c r="G241" t="s">
        <v>108</v>
      </c>
      <c r="H241" s="1">
        <v>43966</v>
      </c>
      <c r="I241" t="s">
        <v>77</v>
      </c>
      <c r="J241" t="s">
        <v>78</v>
      </c>
      <c r="K241">
        <v>2020</v>
      </c>
      <c r="L241">
        <v>432</v>
      </c>
      <c r="M241">
        <v>12</v>
      </c>
      <c r="N241">
        <v>11</v>
      </c>
      <c r="O241">
        <v>4752</v>
      </c>
      <c r="P241">
        <v>427.68000000000006</v>
      </c>
      <c r="Q241">
        <v>4324.32</v>
      </c>
      <c r="R241">
        <v>2.2931999999999997</v>
      </c>
      <c r="S241">
        <v>5184</v>
      </c>
      <c r="T241">
        <v>-859.68000000000029</v>
      </c>
    </row>
    <row r="242" spans="1:20" x14ac:dyDescent="0.35">
      <c r="A242" t="s">
        <v>79</v>
      </c>
      <c r="B242" t="s">
        <v>54</v>
      </c>
      <c r="C242" t="s">
        <v>43</v>
      </c>
      <c r="D242" t="s">
        <v>223</v>
      </c>
      <c r="E242" t="s">
        <v>45</v>
      </c>
      <c r="F242" t="s">
        <v>215</v>
      </c>
      <c r="G242" t="s">
        <v>108</v>
      </c>
      <c r="H242" s="1">
        <v>43892</v>
      </c>
      <c r="I242" t="s">
        <v>109</v>
      </c>
      <c r="J242" t="s">
        <v>36</v>
      </c>
      <c r="K242">
        <v>2020</v>
      </c>
      <c r="L242">
        <v>2360</v>
      </c>
      <c r="M242">
        <v>148</v>
      </c>
      <c r="N242">
        <v>18</v>
      </c>
      <c r="O242">
        <v>42480</v>
      </c>
      <c r="P242">
        <v>3823.2000000000003</v>
      </c>
      <c r="Q242">
        <v>38656.800000000003</v>
      </c>
      <c r="R242">
        <v>21.47964</v>
      </c>
      <c r="S242">
        <v>349280</v>
      </c>
      <c r="T242">
        <v>-310623.2</v>
      </c>
    </row>
    <row r="243" spans="1:20" x14ac:dyDescent="0.35">
      <c r="A243" t="s">
        <v>29</v>
      </c>
      <c r="B243" t="s">
        <v>54</v>
      </c>
      <c r="C243" t="s">
        <v>43</v>
      </c>
      <c r="D243" t="s">
        <v>162</v>
      </c>
      <c r="E243" t="s">
        <v>45</v>
      </c>
      <c r="F243" t="s">
        <v>163</v>
      </c>
      <c r="G243" t="s">
        <v>108</v>
      </c>
      <c r="H243" s="1">
        <v>44186</v>
      </c>
      <c r="I243" t="s">
        <v>64</v>
      </c>
      <c r="J243" t="s">
        <v>61</v>
      </c>
      <c r="K243">
        <v>2020</v>
      </c>
      <c r="L243">
        <v>3154</v>
      </c>
      <c r="M243">
        <v>148</v>
      </c>
      <c r="N243">
        <v>23</v>
      </c>
      <c r="O243">
        <v>72542</v>
      </c>
      <c r="P243">
        <v>6528.7800000000007</v>
      </c>
      <c r="Q243">
        <v>66013.22</v>
      </c>
      <c r="R243">
        <v>35.872199999999999</v>
      </c>
      <c r="S243">
        <v>466792</v>
      </c>
      <c r="T243">
        <v>-400778.78</v>
      </c>
    </row>
    <row r="244" spans="1:20" x14ac:dyDescent="0.35">
      <c r="A244" t="s">
        <v>29</v>
      </c>
      <c r="B244" t="s">
        <v>42</v>
      </c>
      <c r="C244" t="s">
        <v>102</v>
      </c>
      <c r="D244" t="s">
        <v>179</v>
      </c>
      <c r="E244" t="s">
        <v>104</v>
      </c>
      <c r="F244" t="s">
        <v>180</v>
      </c>
      <c r="G244" t="s">
        <v>108</v>
      </c>
      <c r="H244" s="1">
        <v>43960</v>
      </c>
      <c r="I244" t="s">
        <v>77</v>
      </c>
      <c r="J244" t="s">
        <v>78</v>
      </c>
      <c r="K244">
        <v>2020</v>
      </c>
      <c r="L244">
        <v>1957</v>
      </c>
      <c r="M244">
        <v>320</v>
      </c>
      <c r="N244">
        <v>23</v>
      </c>
      <c r="O244">
        <v>45011</v>
      </c>
      <c r="P244">
        <v>4050.9900000000007</v>
      </c>
      <c r="Q244">
        <v>40960.01</v>
      </c>
      <c r="R244">
        <v>22.256324999999997</v>
      </c>
      <c r="S244">
        <v>626240</v>
      </c>
      <c r="T244">
        <v>-585279.99</v>
      </c>
    </row>
    <row r="245" spans="1:20" x14ac:dyDescent="0.35">
      <c r="A245" t="s">
        <v>37</v>
      </c>
      <c r="B245" t="s">
        <v>54</v>
      </c>
      <c r="C245" t="s">
        <v>22</v>
      </c>
      <c r="D245" t="s">
        <v>214</v>
      </c>
      <c r="E245" t="s">
        <v>24</v>
      </c>
      <c r="F245" t="s">
        <v>215</v>
      </c>
      <c r="G245" t="s">
        <v>157</v>
      </c>
      <c r="H245" s="1">
        <v>44126</v>
      </c>
      <c r="I245" t="s">
        <v>72</v>
      </c>
      <c r="J245" t="s">
        <v>61</v>
      </c>
      <c r="K245">
        <v>2020</v>
      </c>
      <c r="L245">
        <v>2794</v>
      </c>
      <c r="M245">
        <v>6</v>
      </c>
      <c r="N245">
        <v>11</v>
      </c>
      <c r="O245">
        <v>30734</v>
      </c>
      <c r="P245">
        <v>3073.3999999999996</v>
      </c>
      <c r="Q245">
        <v>27660.6</v>
      </c>
      <c r="R245">
        <v>14.666399999999999</v>
      </c>
      <c r="S245">
        <v>16764</v>
      </c>
      <c r="T245">
        <v>10896.599999999999</v>
      </c>
    </row>
    <row r="246" spans="1:20" x14ac:dyDescent="0.35">
      <c r="A246" t="s">
        <v>20</v>
      </c>
      <c r="B246" t="s">
        <v>21</v>
      </c>
      <c r="C246" t="s">
        <v>55</v>
      </c>
      <c r="D246" t="s">
        <v>268</v>
      </c>
      <c r="E246" t="s">
        <v>57</v>
      </c>
      <c r="F246" t="s">
        <v>269</v>
      </c>
      <c r="G246" t="s">
        <v>157</v>
      </c>
      <c r="H246" s="1">
        <v>44129</v>
      </c>
      <c r="I246" t="s">
        <v>72</v>
      </c>
      <c r="J246" t="s">
        <v>61</v>
      </c>
      <c r="K246">
        <v>2020</v>
      </c>
      <c r="L246">
        <v>4135</v>
      </c>
      <c r="M246">
        <v>4</v>
      </c>
      <c r="N246">
        <v>188</v>
      </c>
      <c r="O246">
        <v>777380</v>
      </c>
      <c r="P246">
        <v>77738</v>
      </c>
      <c r="Q246">
        <v>699642</v>
      </c>
      <c r="R246">
        <v>387.61874999999998</v>
      </c>
      <c r="S246">
        <v>16540</v>
      </c>
      <c r="T246">
        <v>683102</v>
      </c>
    </row>
    <row r="247" spans="1:20" x14ac:dyDescent="0.35">
      <c r="A247" t="s">
        <v>29</v>
      </c>
      <c r="B247" t="s">
        <v>21</v>
      </c>
      <c r="C247" t="s">
        <v>22</v>
      </c>
      <c r="D247" t="s">
        <v>270</v>
      </c>
      <c r="E247" t="s">
        <v>24</v>
      </c>
      <c r="F247" t="s">
        <v>217</v>
      </c>
      <c r="G247" t="s">
        <v>157</v>
      </c>
      <c r="H247" s="1">
        <v>43944</v>
      </c>
      <c r="I247" t="s">
        <v>112</v>
      </c>
      <c r="J247" t="s">
        <v>78</v>
      </c>
      <c r="K247">
        <v>2020</v>
      </c>
      <c r="L247">
        <v>2486</v>
      </c>
      <c r="M247">
        <v>6</v>
      </c>
      <c r="N247">
        <v>23</v>
      </c>
      <c r="O247">
        <v>57178</v>
      </c>
      <c r="P247">
        <v>5717.8</v>
      </c>
      <c r="Q247">
        <v>51460.2</v>
      </c>
      <c r="R247">
        <v>27.972000000000001</v>
      </c>
      <c r="S247">
        <v>14916</v>
      </c>
      <c r="T247">
        <v>36544.199999999997</v>
      </c>
    </row>
    <row r="248" spans="1:20" x14ac:dyDescent="0.35">
      <c r="A248" t="s">
        <v>37</v>
      </c>
      <c r="B248" t="s">
        <v>38</v>
      </c>
      <c r="C248" t="s">
        <v>31</v>
      </c>
      <c r="D248" t="s">
        <v>117</v>
      </c>
      <c r="E248" t="s">
        <v>33</v>
      </c>
      <c r="F248" t="s">
        <v>118</v>
      </c>
      <c r="G248" t="s">
        <v>157</v>
      </c>
      <c r="H248" s="1">
        <v>43846</v>
      </c>
      <c r="I248" t="s">
        <v>35</v>
      </c>
      <c r="J248" t="s">
        <v>36</v>
      </c>
      <c r="K248">
        <v>2020</v>
      </c>
      <c r="L248">
        <v>2345</v>
      </c>
      <c r="M248">
        <v>12</v>
      </c>
      <c r="N248">
        <v>30</v>
      </c>
      <c r="O248">
        <v>70350</v>
      </c>
      <c r="P248">
        <v>7035</v>
      </c>
      <c r="Q248">
        <v>63315</v>
      </c>
      <c r="R248">
        <v>35.171999999999997</v>
      </c>
      <c r="S248">
        <v>28140</v>
      </c>
      <c r="T248">
        <v>35175</v>
      </c>
    </row>
    <row r="249" spans="1:20" x14ac:dyDescent="0.35">
      <c r="A249" t="s">
        <v>29</v>
      </c>
      <c r="B249" t="s">
        <v>47</v>
      </c>
      <c r="C249" t="s">
        <v>43</v>
      </c>
      <c r="D249" t="s">
        <v>271</v>
      </c>
      <c r="E249" t="s">
        <v>45</v>
      </c>
      <c r="F249" t="s">
        <v>272</v>
      </c>
      <c r="G249" t="s">
        <v>157</v>
      </c>
      <c r="H249" s="1">
        <v>43970</v>
      </c>
      <c r="I249" t="s">
        <v>77</v>
      </c>
      <c r="J249" t="s">
        <v>78</v>
      </c>
      <c r="K249">
        <v>2020</v>
      </c>
      <c r="L249">
        <v>817</v>
      </c>
      <c r="M249">
        <v>148</v>
      </c>
      <c r="N249">
        <v>23</v>
      </c>
      <c r="O249">
        <v>18791</v>
      </c>
      <c r="P249">
        <v>1879.1000000000001</v>
      </c>
      <c r="Q249">
        <v>16911.900000000001</v>
      </c>
      <c r="R249">
        <v>9.1935000000000002</v>
      </c>
      <c r="S249">
        <v>120916</v>
      </c>
      <c r="T249">
        <v>-104004.1</v>
      </c>
    </row>
    <row r="250" spans="1:20" x14ac:dyDescent="0.35">
      <c r="A250" t="s">
        <v>29</v>
      </c>
      <c r="B250" t="s">
        <v>42</v>
      </c>
      <c r="C250" t="s">
        <v>43</v>
      </c>
      <c r="D250" t="s">
        <v>244</v>
      </c>
      <c r="E250" t="s">
        <v>45</v>
      </c>
      <c r="F250" t="s">
        <v>116</v>
      </c>
      <c r="G250" t="s">
        <v>157</v>
      </c>
      <c r="H250" s="1">
        <v>44172</v>
      </c>
      <c r="I250" t="s">
        <v>64</v>
      </c>
      <c r="J250" t="s">
        <v>61</v>
      </c>
      <c r="K250">
        <v>2020</v>
      </c>
      <c r="L250">
        <v>948</v>
      </c>
      <c r="M250">
        <v>148</v>
      </c>
      <c r="N250">
        <v>23</v>
      </c>
      <c r="O250">
        <v>21804</v>
      </c>
      <c r="P250">
        <v>2180.4</v>
      </c>
      <c r="Q250">
        <v>19623.599999999999</v>
      </c>
      <c r="R250">
        <v>10.664999999999999</v>
      </c>
      <c r="S250">
        <v>140304</v>
      </c>
      <c r="T250">
        <v>-120680.4</v>
      </c>
    </row>
    <row r="251" spans="1:20" x14ac:dyDescent="0.35">
      <c r="A251" t="s">
        <v>37</v>
      </c>
      <c r="B251" t="s">
        <v>84</v>
      </c>
      <c r="C251" t="s">
        <v>43</v>
      </c>
      <c r="D251" t="s">
        <v>131</v>
      </c>
      <c r="E251" t="s">
        <v>45</v>
      </c>
      <c r="F251" t="s">
        <v>132</v>
      </c>
      <c r="G251" t="s">
        <v>157</v>
      </c>
      <c r="H251" s="1">
        <v>43996</v>
      </c>
      <c r="I251" t="s">
        <v>144</v>
      </c>
      <c r="J251" t="s">
        <v>78</v>
      </c>
      <c r="K251">
        <v>2020</v>
      </c>
      <c r="L251">
        <v>767</v>
      </c>
      <c r="M251">
        <v>148</v>
      </c>
      <c r="N251">
        <v>525</v>
      </c>
      <c r="O251">
        <v>402675</v>
      </c>
      <c r="P251">
        <v>40267.5</v>
      </c>
      <c r="Q251">
        <v>362407.5</v>
      </c>
      <c r="R251">
        <v>201.285</v>
      </c>
      <c r="S251">
        <v>113516</v>
      </c>
      <c r="T251">
        <v>248891.5</v>
      </c>
    </row>
    <row r="252" spans="1:20" x14ac:dyDescent="0.35">
      <c r="A252" t="s">
        <v>29</v>
      </c>
      <c r="B252" t="s">
        <v>65</v>
      </c>
      <c r="C252" t="s">
        <v>48</v>
      </c>
      <c r="D252" t="s">
        <v>100</v>
      </c>
      <c r="E252" t="s">
        <v>50</v>
      </c>
      <c r="F252" t="s">
        <v>101</v>
      </c>
      <c r="G252" t="s">
        <v>157</v>
      </c>
      <c r="H252" s="1">
        <v>44073</v>
      </c>
      <c r="I252" t="s">
        <v>41</v>
      </c>
      <c r="J252" t="s">
        <v>28</v>
      </c>
      <c r="K252">
        <v>2020</v>
      </c>
      <c r="L252">
        <v>769</v>
      </c>
      <c r="M252">
        <v>308</v>
      </c>
      <c r="N252">
        <v>23</v>
      </c>
      <c r="O252">
        <v>17687</v>
      </c>
      <c r="P252">
        <v>1768.7</v>
      </c>
      <c r="Q252">
        <v>15918.3</v>
      </c>
      <c r="R252">
        <v>8.6534999999999993</v>
      </c>
      <c r="S252">
        <v>236852</v>
      </c>
      <c r="T252">
        <v>-220933.7</v>
      </c>
    </row>
    <row r="253" spans="1:20" x14ac:dyDescent="0.35">
      <c r="A253" t="s">
        <v>37</v>
      </c>
      <c r="B253" t="s">
        <v>21</v>
      </c>
      <c r="C253" t="s">
        <v>48</v>
      </c>
      <c r="D253" t="s">
        <v>98</v>
      </c>
      <c r="E253" t="s">
        <v>50</v>
      </c>
      <c r="F253" t="s">
        <v>99</v>
      </c>
      <c r="G253" t="s">
        <v>157</v>
      </c>
      <c r="H253" s="1">
        <v>44078</v>
      </c>
      <c r="I253" t="s">
        <v>27</v>
      </c>
      <c r="J253" t="s">
        <v>28</v>
      </c>
      <c r="K253">
        <v>2020</v>
      </c>
      <c r="L253">
        <v>3368</v>
      </c>
      <c r="M253">
        <v>308</v>
      </c>
      <c r="N253">
        <v>525</v>
      </c>
      <c r="O253">
        <v>1768200</v>
      </c>
      <c r="P253">
        <v>176820</v>
      </c>
      <c r="Q253">
        <v>1591380</v>
      </c>
      <c r="R253">
        <v>884.20500000000004</v>
      </c>
      <c r="S253">
        <v>1037344</v>
      </c>
      <c r="T253">
        <v>554036</v>
      </c>
    </row>
    <row r="254" spans="1:20" x14ac:dyDescent="0.35">
      <c r="A254" t="s">
        <v>20</v>
      </c>
      <c r="B254" t="s">
        <v>21</v>
      </c>
      <c r="C254" t="s">
        <v>48</v>
      </c>
      <c r="D254" t="s">
        <v>187</v>
      </c>
      <c r="E254" t="s">
        <v>50</v>
      </c>
      <c r="F254" t="s">
        <v>188</v>
      </c>
      <c r="G254" t="s">
        <v>157</v>
      </c>
      <c r="H254" s="1">
        <v>44061</v>
      </c>
      <c r="I254" t="s">
        <v>41</v>
      </c>
      <c r="J254" t="s">
        <v>28</v>
      </c>
      <c r="K254">
        <v>2020</v>
      </c>
      <c r="L254">
        <v>3035</v>
      </c>
      <c r="M254">
        <v>308</v>
      </c>
      <c r="N254">
        <v>188</v>
      </c>
      <c r="O254">
        <v>570580</v>
      </c>
      <c r="P254">
        <v>57058</v>
      </c>
      <c r="Q254">
        <v>513522</v>
      </c>
      <c r="R254">
        <v>284.51249999999999</v>
      </c>
      <c r="S254">
        <v>934780</v>
      </c>
      <c r="T254">
        <v>-421258</v>
      </c>
    </row>
    <row r="255" spans="1:20" x14ac:dyDescent="0.35">
      <c r="A255" t="s">
        <v>79</v>
      </c>
      <c r="B255" t="s">
        <v>42</v>
      </c>
      <c r="C255" t="s">
        <v>102</v>
      </c>
      <c r="D255" t="s">
        <v>170</v>
      </c>
      <c r="E255" t="s">
        <v>104</v>
      </c>
      <c r="F255" t="s">
        <v>171</v>
      </c>
      <c r="G255" t="s">
        <v>157</v>
      </c>
      <c r="H255" s="1">
        <v>44161</v>
      </c>
      <c r="I255" t="s">
        <v>60</v>
      </c>
      <c r="J255" t="s">
        <v>61</v>
      </c>
      <c r="K255">
        <v>2020</v>
      </c>
      <c r="L255">
        <v>4225</v>
      </c>
      <c r="M255">
        <v>320</v>
      </c>
      <c r="N255">
        <v>18</v>
      </c>
      <c r="O255">
        <v>76050</v>
      </c>
      <c r="P255">
        <v>7605</v>
      </c>
      <c r="Q255">
        <v>68445</v>
      </c>
      <c r="R255">
        <v>38.021399999999993</v>
      </c>
      <c r="S255">
        <v>1352000</v>
      </c>
      <c r="T255">
        <v>-1283555</v>
      </c>
    </row>
    <row r="256" spans="1:20" x14ac:dyDescent="0.35">
      <c r="A256" t="s">
        <v>37</v>
      </c>
      <c r="B256" t="s">
        <v>65</v>
      </c>
      <c r="C256" t="s">
        <v>102</v>
      </c>
      <c r="D256" t="s">
        <v>236</v>
      </c>
      <c r="E256" t="s">
        <v>104</v>
      </c>
      <c r="F256" t="s">
        <v>126</v>
      </c>
      <c r="G256" t="s">
        <v>157</v>
      </c>
      <c r="H256" s="1">
        <v>43939</v>
      </c>
      <c r="I256" t="s">
        <v>112</v>
      </c>
      <c r="J256" t="s">
        <v>78</v>
      </c>
      <c r="K256">
        <v>2020</v>
      </c>
      <c r="L256">
        <v>2447</v>
      </c>
      <c r="M256">
        <v>320</v>
      </c>
      <c r="N256">
        <v>30</v>
      </c>
      <c r="O256">
        <v>73410</v>
      </c>
      <c r="P256">
        <v>7341</v>
      </c>
      <c r="Q256">
        <v>66069</v>
      </c>
      <c r="R256">
        <v>36.701999999999998</v>
      </c>
      <c r="S256">
        <v>783040</v>
      </c>
      <c r="T256">
        <v>-716971</v>
      </c>
    </row>
    <row r="257" spans="1:20" x14ac:dyDescent="0.35">
      <c r="A257" t="s">
        <v>29</v>
      </c>
      <c r="B257" t="s">
        <v>54</v>
      </c>
      <c r="C257" t="s">
        <v>102</v>
      </c>
      <c r="D257" t="s">
        <v>273</v>
      </c>
      <c r="E257" t="s">
        <v>104</v>
      </c>
      <c r="F257" t="s">
        <v>274</v>
      </c>
      <c r="G257" t="s">
        <v>157</v>
      </c>
      <c r="H257" s="1">
        <v>44159</v>
      </c>
      <c r="I257" t="s">
        <v>60</v>
      </c>
      <c r="J257" t="s">
        <v>61</v>
      </c>
      <c r="K257">
        <v>2020</v>
      </c>
      <c r="L257">
        <v>2486</v>
      </c>
      <c r="M257">
        <v>320</v>
      </c>
      <c r="N257">
        <v>23</v>
      </c>
      <c r="O257">
        <v>57178</v>
      </c>
      <c r="P257">
        <v>5717.8</v>
      </c>
      <c r="Q257">
        <v>51460.2</v>
      </c>
      <c r="R257">
        <v>27.972000000000001</v>
      </c>
      <c r="S257">
        <v>795520</v>
      </c>
      <c r="T257">
        <v>-744059.8</v>
      </c>
    </row>
    <row r="258" spans="1:20" x14ac:dyDescent="0.35">
      <c r="A258" t="s">
        <v>29</v>
      </c>
      <c r="B258" t="s">
        <v>38</v>
      </c>
      <c r="C258" t="s">
        <v>43</v>
      </c>
      <c r="D258" t="s">
        <v>252</v>
      </c>
      <c r="E258" t="s">
        <v>45</v>
      </c>
      <c r="F258" t="s">
        <v>165</v>
      </c>
      <c r="G258" t="s">
        <v>157</v>
      </c>
      <c r="H258" s="1">
        <v>43990</v>
      </c>
      <c r="I258" t="s">
        <v>144</v>
      </c>
      <c r="J258" t="s">
        <v>78</v>
      </c>
      <c r="K258">
        <v>2020</v>
      </c>
      <c r="L258">
        <v>461</v>
      </c>
      <c r="M258">
        <v>148</v>
      </c>
      <c r="N258">
        <v>23</v>
      </c>
      <c r="O258">
        <v>10603</v>
      </c>
      <c r="P258">
        <v>1166.33</v>
      </c>
      <c r="Q258">
        <v>9436.67</v>
      </c>
      <c r="R258">
        <v>5.1263999999999994</v>
      </c>
      <c r="S258">
        <v>68228</v>
      </c>
      <c r="T258">
        <v>-58791.33</v>
      </c>
    </row>
    <row r="259" spans="1:20" x14ac:dyDescent="0.35">
      <c r="A259" t="s">
        <v>79</v>
      </c>
      <c r="B259" t="s">
        <v>30</v>
      </c>
      <c r="C259" t="s">
        <v>43</v>
      </c>
      <c r="D259" t="s">
        <v>201</v>
      </c>
      <c r="E259" t="s">
        <v>45</v>
      </c>
      <c r="F259" t="s">
        <v>161</v>
      </c>
      <c r="G259" t="s">
        <v>157</v>
      </c>
      <c r="H259" s="1">
        <v>44163</v>
      </c>
      <c r="I259" t="s">
        <v>60</v>
      </c>
      <c r="J259" t="s">
        <v>61</v>
      </c>
      <c r="K259">
        <v>2020</v>
      </c>
      <c r="L259">
        <v>566</v>
      </c>
      <c r="M259">
        <v>148</v>
      </c>
      <c r="N259">
        <v>18</v>
      </c>
      <c r="O259">
        <v>10188</v>
      </c>
      <c r="P259">
        <v>1120.6799999999998</v>
      </c>
      <c r="Q259">
        <v>9067.32</v>
      </c>
      <c r="R259">
        <v>5.0409600000000001</v>
      </c>
      <c r="S259">
        <v>83768</v>
      </c>
      <c r="T259">
        <v>-74700.679999999993</v>
      </c>
    </row>
    <row r="260" spans="1:20" x14ac:dyDescent="0.35">
      <c r="A260" t="s">
        <v>29</v>
      </c>
      <c r="B260" t="s">
        <v>84</v>
      </c>
      <c r="C260" t="s">
        <v>102</v>
      </c>
      <c r="D260" t="s">
        <v>168</v>
      </c>
      <c r="E260" t="s">
        <v>104</v>
      </c>
      <c r="F260" t="s">
        <v>169</v>
      </c>
      <c r="G260" t="s">
        <v>157</v>
      </c>
      <c r="H260" s="1">
        <v>43936</v>
      </c>
      <c r="I260" t="s">
        <v>112</v>
      </c>
      <c r="J260" t="s">
        <v>78</v>
      </c>
      <c r="K260">
        <v>2020</v>
      </c>
      <c r="L260">
        <v>3839</v>
      </c>
      <c r="M260">
        <v>320</v>
      </c>
      <c r="N260">
        <v>23</v>
      </c>
      <c r="O260">
        <v>88297</v>
      </c>
      <c r="P260">
        <v>9712.6699999999983</v>
      </c>
      <c r="Q260">
        <v>78584.33</v>
      </c>
      <c r="R260">
        <v>42.713324999999998</v>
      </c>
      <c r="S260">
        <v>1228480</v>
      </c>
      <c r="T260">
        <v>-1149895.67</v>
      </c>
    </row>
    <row r="261" spans="1:20" x14ac:dyDescent="0.35">
      <c r="A261" t="s">
        <v>79</v>
      </c>
      <c r="B261" t="s">
        <v>30</v>
      </c>
      <c r="C261" t="s">
        <v>102</v>
      </c>
      <c r="D261" t="s">
        <v>174</v>
      </c>
      <c r="E261" t="s">
        <v>104</v>
      </c>
      <c r="F261" t="s">
        <v>148</v>
      </c>
      <c r="G261" t="s">
        <v>157</v>
      </c>
      <c r="H261" s="1">
        <v>44117</v>
      </c>
      <c r="I261" t="s">
        <v>72</v>
      </c>
      <c r="J261" t="s">
        <v>61</v>
      </c>
      <c r="K261">
        <v>2020</v>
      </c>
      <c r="L261">
        <v>566</v>
      </c>
      <c r="M261">
        <v>320</v>
      </c>
      <c r="N261">
        <v>18</v>
      </c>
      <c r="O261">
        <v>10188</v>
      </c>
      <c r="P261">
        <v>1120.6799999999998</v>
      </c>
      <c r="Q261">
        <v>9067.32</v>
      </c>
      <c r="R261">
        <v>5.0409600000000001</v>
      </c>
      <c r="S261">
        <v>181120</v>
      </c>
      <c r="T261">
        <v>-172052.68</v>
      </c>
    </row>
    <row r="262" spans="1:20" x14ac:dyDescent="0.35">
      <c r="A262" t="s">
        <v>79</v>
      </c>
      <c r="B262" t="s">
        <v>38</v>
      </c>
      <c r="C262" t="s">
        <v>55</v>
      </c>
      <c r="D262" t="s">
        <v>208</v>
      </c>
      <c r="E262" t="s">
        <v>57</v>
      </c>
      <c r="F262" t="s">
        <v>209</v>
      </c>
      <c r="G262" t="s">
        <v>157</v>
      </c>
      <c r="H262" s="1">
        <v>44108</v>
      </c>
      <c r="I262" t="s">
        <v>72</v>
      </c>
      <c r="J262" t="s">
        <v>61</v>
      </c>
      <c r="K262">
        <v>2020</v>
      </c>
      <c r="L262">
        <v>2324</v>
      </c>
      <c r="M262">
        <v>4</v>
      </c>
      <c r="N262">
        <v>18</v>
      </c>
      <c r="O262">
        <v>41832</v>
      </c>
      <c r="P262">
        <v>4601.5200000000004</v>
      </c>
      <c r="Q262">
        <v>37230.479999999996</v>
      </c>
      <c r="R262">
        <v>20.687159999999999</v>
      </c>
      <c r="S262">
        <v>9296</v>
      </c>
      <c r="T262">
        <v>27934.479999999996</v>
      </c>
    </row>
    <row r="263" spans="1:20" x14ac:dyDescent="0.35">
      <c r="A263" t="s">
        <v>37</v>
      </c>
      <c r="B263" t="s">
        <v>47</v>
      </c>
      <c r="C263" t="s">
        <v>55</v>
      </c>
      <c r="D263" t="s">
        <v>172</v>
      </c>
      <c r="E263" t="s">
        <v>57</v>
      </c>
      <c r="F263" t="s">
        <v>173</v>
      </c>
      <c r="G263" t="s">
        <v>157</v>
      </c>
      <c r="H263" s="1">
        <v>43974</v>
      </c>
      <c r="I263" t="s">
        <v>77</v>
      </c>
      <c r="J263" t="s">
        <v>78</v>
      </c>
      <c r="K263">
        <v>2020</v>
      </c>
      <c r="L263">
        <v>950</v>
      </c>
      <c r="M263">
        <v>4</v>
      </c>
      <c r="N263">
        <v>525</v>
      </c>
      <c r="O263">
        <v>498750</v>
      </c>
      <c r="P263">
        <v>54862.5</v>
      </c>
      <c r="Q263">
        <v>443887.5</v>
      </c>
      <c r="R263">
        <v>246.708</v>
      </c>
      <c r="S263">
        <v>3800</v>
      </c>
      <c r="T263">
        <v>440087.5</v>
      </c>
    </row>
    <row r="264" spans="1:20" x14ac:dyDescent="0.35">
      <c r="A264" t="s">
        <v>53</v>
      </c>
      <c r="B264" t="s">
        <v>84</v>
      </c>
      <c r="C264" t="s">
        <v>31</v>
      </c>
      <c r="D264" t="s">
        <v>220</v>
      </c>
      <c r="E264" t="s">
        <v>33</v>
      </c>
      <c r="F264" t="s">
        <v>221</v>
      </c>
      <c r="G264" t="s">
        <v>157</v>
      </c>
      <c r="H264" s="1">
        <v>44196</v>
      </c>
      <c r="I264" t="s">
        <v>64</v>
      </c>
      <c r="J264" t="s">
        <v>61</v>
      </c>
      <c r="K264">
        <v>2020</v>
      </c>
      <c r="L264">
        <v>1048</v>
      </c>
      <c r="M264">
        <v>12</v>
      </c>
      <c r="N264">
        <v>450</v>
      </c>
      <c r="O264">
        <v>471600</v>
      </c>
      <c r="P264">
        <v>51876</v>
      </c>
      <c r="Q264">
        <v>419724</v>
      </c>
      <c r="R264">
        <v>233.09100000000001</v>
      </c>
      <c r="S264">
        <v>12576</v>
      </c>
      <c r="T264">
        <v>407148</v>
      </c>
    </row>
    <row r="265" spans="1:20" x14ac:dyDescent="0.35">
      <c r="A265" t="s">
        <v>37</v>
      </c>
      <c r="B265" t="s">
        <v>47</v>
      </c>
      <c r="C265" t="s">
        <v>31</v>
      </c>
      <c r="D265" t="s">
        <v>94</v>
      </c>
      <c r="E265" t="s">
        <v>33</v>
      </c>
      <c r="F265" t="s">
        <v>95</v>
      </c>
      <c r="G265" t="s">
        <v>157</v>
      </c>
      <c r="H265" s="1">
        <v>44192</v>
      </c>
      <c r="I265" t="s">
        <v>64</v>
      </c>
      <c r="J265" t="s">
        <v>61</v>
      </c>
      <c r="K265">
        <v>2020</v>
      </c>
      <c r="L265">
        <v>1346</v>
      </c>
      <c r="M265">
        <v>12</v>
      </c>
      <c r="N265">
        <v>30</v>
      </c>
      <c r="O265">
        <v>40380</v>
      </c>
      <c r="P265">
        <v>4441.8</v>
      </c>
      <c r="Q265">
        <v>35938.199999999997</v>
      </c>
      <c r="R265">
        <v>19.971599999999999</v>
      </c>
      <c r="S265">
        <v>16152</v>
      </c>
      <c r="T265">
        <v>19786.199999999997</v>
      </c>
    </row>
    <row r="266" spans="1:20" x14ac:dyDescent="0.35">
      <c r="A266" t="s">
        <v>37</v>
      </c>
      <c r="B266" t="s">
        <v>38</v>
      </c>
      <c r="C266" t="s">
        <v>31</v>
      </c>
      <c r="D266" t="s">
        <v>39</v>
      </c>
      <c r="E266" t="s">
        <v>33</v>
      </c>
      <c r="F266" t="s">
        <v>40</v>
      </c>
      <c r="G266" t="s">
        <v>157</v>
      </c>
      <c r="H266" s="1">
        <v>44168</v>
      </c>
      <c r="I266" t="s">
        <v>64</v>
      </c>
      <c r="J266" t="s">
        <v>61</v>
      </c>
      <c r="K266">
        <v>2020</v>
      </c>
      <c r="L266">
        <v>2525</v>
      </c>
      <c r="M266">
        <v>12</v>
      </c>
      <c r="N266">
        <v>525</v>
      </c>
      <c r="O266">
        <v>1325625</v>
      </c>
      <c r="P266">
        <v>145818.75</v>
      </c>
      <c r="Q266">
        <v>1179806.25</v>
      </c>
      <c r="R266">
        <v>655.55174999999997</v>
      </c>
      <c r="S266">
        <v>30300</v>
      </c>
      <c r="T266">
        <v>1149506.25</v>
      </c>
    </row>
    <row r="267" spans="1:20" x14ac:dyDescent="0.35">
      <c r="A267" t="s">
        <v>79</v>
      </c>
      <c r="B267" t="s">
        <v>21</v>
      </c>
      <c r="C267" t="s">
        <v>31</v>
      </c>
      <c r="D267" t="s">
        <v>80</v>
      </c>
      <c r="E267" t="s">
        <v>33</v>
      </c>
      <c r="F267" t="s">
        <v>81</v>
      </c>
      <c r="G267" t="s">
        <v>157</v>
      </c>
      <c r="H267" s="1">
        <v>44166</v>
      </c>
      <c r="I267" t="s">
        <v>64</v>
      </c>
      <c r="J267" t="s">
        <v>61</v>
      </c>
      <c r="K267">
        <v>2020</v>
      </c>
      <c r="L267">
        <v>2911</v>
      </c>
      <c r="M267">
        <v>12</v>
      </c>
      <c r="N267">
        <v>18</v>
      </c>
      <c r="O267">
        <v>52398</v>
      </c>
      <c r="P267">
        <v>5763.78</v>
      </c>
      <c r="Q267">
        <v>46634.22</v>
      </c>
      <c r="R267">
        <v>25.904340000000005</v>
      </c>
      <c r="S267">
        <v>34932</v>
      </c>
      <c r="T267">
        <v>11702.220000000001</v>
      </c>
    </row>
    <row r="268" spans="1:20" x14ac:dyDescent="0.35">
      <c r="A268" t="s">
        <v>37</v>
      </c>
      <c r="B268" t="s">
        <v>38</v>
      </c>
      <c r="C268" t="s">
        <v>31</v>
      </c>
      <c r="D268" t="s">
        <v>39</v>
      </c>
      <c r="E268" t="s">
        <v>33</v>
      </c>
      <c r="F268" t="s">
        <v>40</v>
      </c>
      <c r="G268" t="s">
        <v>157</v>
      </c>
      <c r="H268" s="1">
        <v>43902</v>
      </c>
      <c r="I268" t="s">
        <v>109</v>
      </c>
      <c r="J268" t="s">
        <v>36</v>
      </c>
      <c r="K268">
        <v>2020</v>
      </c>
      <c r="L268">
        <v>2873</v>
      </c>
      <c r="M268">
        <v>12</v>
      </c>
      <c r="N268">
        <v>30</v>
      </c>
      <c r="O268">
        <v>86190</v>
      </c>
      <c r="P268">
        <v>9480.9</v>
      </c>
      <c r="Q268">
        <v>76709.100000000006</v>
      </c>
      <c r="R268">
        <v>42.613199999999999</v>
      </c>
      <c r="S268">
        <v>34476</v>
      </c>
      <c r="T268">
        <v>42233.100000000006</v>
      </c>
    </row>
    <row r="269" spans="1:20" x14ac:dyDescent="0.35">
      <c r="A269" t="s">
        <v>20</v>
      </c>
      <c r="B269" t="s">
        <v>54</v>
      </c>
      <c r="C269" t="s">
        <v>31</v>
      </c>
      <c r="D269" t="s">
        <v>115</v>
      </c>
      <c r="E269" t="s">
        <v>33</v>
      </c>
      <c r="F269" t="s">
        <v>116</v>
      </c>
      <c r="G269" t="s">
        <v>157</v>
      </c>
      <c r="H269" s="1">
        <v>44109</v>
      </c>
      <c r="I269" t="s">
        <v>72</v>
      </c>
      <c r="J269" t="s">
        <v>61</v>
      </c>
      <c r="K269">
        <v>2020</v>
      </c>
      <c r="L269">
        <v>2929</v>
      </c>
      <c r="M269">
        <v>12</v>
      </c>
      <c r="N269">
        <v>188</v>
      </c>
      <c r="O269">
        <v>550652</v>
      </c>
      <c r="P269">
        <v>60571.72</v>
      </c>
      <c r="Q269">
        <v>490080.28</v>
      </c>
      <c r="R269">
        <v>271.56124999999997</v>
      </c>
      <c r="S269">
        <v>35148</v>
      </c>
      <c r="T269">
        <v>454932.28</v>
      </c>
    </row>
    <row r="270" spans="1:20" x14ac:dyDescent="0.35">
      <c r="A270" t="s">
        <v>53</v>
      </c>
      <c r="B270" t="s">
        <v>84</v>
      </c>
      <c r="C270" t="s">
        <v>31</v>
      </c>
      <c r="D270" t="s">
        <v>220</v>
      </c>
      <c r="E270" t="s">
        <v>33</v>
      </c>
      <c r="F270" t="s">
        <v>221</v>
      </c>
      <c r="G270" t="s">
        <v>157</v>
      </c>
      <c r="H270" s="1">
        <v>44121</v>
      </c>
      <c r="I270" t="s">
        <v>72</v>
      </c>
      <c r="J270" t="s">
        <v>61</v>
      </c>
      <c r="K270">
        <v>2020</v>
      </c>
      <c r="L270">
        <v>1639</v>
      </c>
      <c r="M270">
        <v>12</v>
      </c>
      <c r="N270">
        <v>450</v>
      </c>
      <c r="O270">
        <v>737550</v>
      </c>
      <c r="P270">
        <v>81130.5</v>
      </c>
      <c r="Q270">
        <v>656419.5</v>
      </c>
      <c r="R270">
        <v>364.72199999999998</v>
      </c>
      <c r="S270">
        <v>19668</v>
      </c>
      <c r="T270">
        <v>636751.5</v>
      </c>
    </row>
    <row r="271" spans="1:20" x14ac:dyDescent="0.35">
      <c r="A271" t="s">
        <v>37</v>
      </c>
      <c r="B271" t="s">
        <v>47</v>
      </c>
      <c r="C271" t="s">
        <v>43</v>
      </c>
      <c r="D271" t="s">
        <v>233</v>
      </c>
      <c r="E271" t="s">
        <v>45</v>
      </c>
      <c r="F271" t="s">
        <v>234</v>
      </c>
      <c r="G271" t="s">
        <v>157</v>
      </c>
      <c r="H271" s="1">
        <v>43929</v>
      </c>
      <c r="I271" t="s">
        <v>112</v>
      </c>
      <c r="J271" t="s">
        <v>78</v>
      </c>
      <c r="K271">
        <v>2020</v>
      </c>
      <c r="L271">
        <v>2170</v>
      </c>
      <c r="M271">
        <v>148</v>
      </c>
      <c r="N271">
        <v>11</v>
      </c>
      <c r="O271">
        <v>23870</v>
      </c>
      <c r="P271">
        <v>2625.7</v>
      </c>
      <c r="Q271">
        <v>21244.3</v>
      </c>
      <c r="R271">
        <v>11.26384</v>
      </c>
      <c r="S271">
        <v>321160</v>
      </c>
      <c r="T271">
        <v>-299915.7</v>
      </c>
    </row>
    <row r="272" spans="1:20" x14ac:dyDescent="0.35">
      <c r="A272" t="s">
        <v>79</v>
      </c>
      <c r="B272" t="s">
        <v>21</v>
      </c>
      <c r="C272" t="s">
        <v>48</v>
      </c>
      <c r="D272" t="s">
        <v>153</v>
      </c>
      <c r="E272" t="s">
        <v>50</v>
      </c>
      <c r="F272" t="s">
        <v>154</v>
      </c>
      <c r="G272" t="s">
        <v>157</v>
      </c>
      <c r="H272" s="1">
        <v>44107</v>
      </c>
      <c r="I272" t="s">
        <v>72</v>
      </c>
      <c r="J272" t="s">
        <v>61</v>
      </c>
      <c r="K272">
        <v>2020</v>
      </c>
      <c r="L272">
        <v>2081</v>
      </c>
      <c r="M272">
        <v>308</v>
      </c>
      <c r="N272">
        <v>18</v>
      </c>
      <c r="O272">
        <v>37458</v>
      </c>
      <c r="P272">
        <v>4120.38</v>
      </c>
      <c r="Q272">
        <v>33337.620000000003</v>
      </c>
      <c r="R272">
        <v>18.519119999999997</v>
      </c>
      <c r="S272">
        <v>640948</v>
      </c>
      <c r="T272">
        <v>-607610.38</v>
      </c>
    </row>
    <row r="273" spans="1:20" x14ac:dyDescent="0.35">
      <c r="A273" t="s">
        <v>20</v>
      </c>
      <c r="B273" t="s">
        <v>65</v>
      </c>
      <c r="C273" t="s">
        <v>48</v>
      </c>
      <c r="D273" t="s">
        <v>275</v>
      </c>
      <c r="E273" t="s">
        <v>50</v>
      </c>
      <c r="F273" t="s">
        <v>120</v>
      </c>
      <c r="G273" t="s">
        <v>157</v>
      </c>
      <c r="H273" s="1">
        <v>43986</v>
      </c>
      <c r="I273" t="s">
        <v>144</v>
      </c>
      <c r="J273" t="s">
        <v>78</v>
      </c>
      <c r="K273">
        <v>2020</v>
      </c>
      <c r="L273">
        <v>665</v>
      </c>
      <c r="M273">
        <v>308</v>
      </c>
      <c r="N273">
        <v>188</v>
      </c>
      <c r="O273">
        <v>125020</v>
      </c>
      <c r="P273">
        <v>13752.2</v>
      </c>
      <c r="Q273">
        <v>111267.8</v>
      </c>
      <c r="R273">
        <v>61.6325</v>
      </c>
      <c r="S273">
        <v>204820</v>
      </c>
      <c r="T273">
        <v>-93552.2</v>
      </c>
    </row>
    <row r="274" spans="1:20" x14ac:dyDescent="0.35">
      <c r="A274" t="s">
        <v>20</v>
      </c>
      <c r="B274" t="s">
        <v>21</v>
      </c>
      <c r="C274" t="s">
        <v>102</v>
      </c>
      <c r="D274" t="s">
        <v>276</v>
      </c>
      <c r="E274" t="s">
        <v>104</v>
      </c>
      <c r="F274" t="s">
        <v>217</v>
      </c>
      <c r="G274" t="s">
        <v>157</v>
      </c>
      <c r="H274" s="1">
        <v>44142</v>
      </c>
      <c r="I274" t="s">
        <v>60</v>
      </c>
      <c r="J274" t="s">
        <v>61</v>
      </c>
      <c r="K274">
        <v>2020</v>
      </c>
      <c r="L274">
        <v>3798</v>
      </c>
      <c r="M274">
        <v>320</v>
      </c>
      <c r="N274">
        <v>188</v>
      </c>
      <c r="O274">
        <v>714024</v>
      </c>
      <c r="P274">
        <v>78542.64</v>
      </c>
      <c r="Q274">
        <v>635481.36</v>
      </c>
      <c r="R274">
        <v>352.10624999999999</v>
      </c>
      <c r="S274">
        <v>1215360</v>
      </c>
      <c r="T274">
        <v>-579878.64</v>
      </c>
    </row>
    <row r="275" spans="1:20" x14ac:dyDescent="0.35">
      <c r="A275" t="s">
        <v>20</v>
      </c>
      <c r="B275" t="s">
        <v>30</v>
      </c>
      <c r="C275" t="s">
        <v>102</v>
      </c>
      <c r="D275" t="s">
        <v>277</v>
      </c>
      <c r="E275" t="s">
        <v>104</v>
      </c>
      <c r="F275" t="s">
        <v>161</v>
      </c>
      <c r="G275" t="s">
        <v>157</v>
      </c>
      <c r="H275" s="1">
        <v>44033</v>
      </c>
      <c r="I275" t="s">
        <v>89</v>
      </c>
      <c r="J275" t="s">
        <v>28</v>
      </c>
      <c r="K275">
        <v>2020</v>
      </c>
      <c r="L275">
        <v>1720</v>
      </c>
      <c r="M275">
        <v>320</v>
      </c>
      <c r="N275">
        <v>188</v>
      </c>
      <c r="O275">
        <v>323360</v>
      </c>
      <c r="P275">
        <v>35569.599999999999</v>
      </c>
      <c r="Q275">
        <v>287790.40000000002</v>
      </c>
      <c r="R275">
        <v>159.42124999999999</v>
      </c>
      <c r="S275">
        <v>550400</v>
      </c>
      <c r="T275">
        <v>-262609.59999999998</v>
      </c>
    </row>
    <row r="276" spans="1:20" x14ac:dyDescent="0.35">
      <c r="A276" t="s">
        <v>29</v>
      </c>
      <c r="B276" t="s">
        <v>47</v>
      </c>
      <c r="C276" t="s">
        <v>102</v>
      </c>
      <c r="D276" t="s">
        <v>181</v>
      </c>
      <c r="E276" t="s">
        <v>104</v>
      </c>
      <c r="F276" t="s">
        <v>182</v>
      </c>
      <c r="G276" t="s">
        <v>157</v>
      </c>
      <c r="H276" s="1">
        <v>44131</v>
      </c>
      <c r="I276" t="s">
        <v>72</v>
      </c>
      <c r="J276" t="s">
        <v>61</v>
      </c>
      <c r="K276">
        <v>2020</v>
      </c>
      <c r="L276">
        <v>2588</v>
      </c>
      <c r="M276">
        <v>320</v>
      </c>
      <c r="N276">
        <v>23</v>
      </c>
      <c r="O276">
        <v>59524</v>
      </c>
      <c r="P276">
        <v>6547.64</v>
      </c>
      <c r="Q276">
        <v>52976.36</v>
      </c>
      <c r="R276">
        <v>28.795950000000001</v>
      </c>
      <c r="S276">
        <v>828160</v>
      </c>
      <c r="T276">
        <v>-775183.64</v>
      </c>
    </row>
    <row r="277" spans="1:20" x14ac:dyDescent="0.35">
      <c r="A277" t="s">
        <v>20</v>
      </c>
      <c r="B277" t="s">
        <v>38</v>
      </c>
      <c r="C277" t="s">
        <v>55</v>
      </c>
      <c r="D277" t="s">
        <v>259</v>
      </c>
      <c r="E277" t="s">
        <v>57</v>
      </c>
      <c r="F277" t="s">
        <v>260</v>
      </c>
      <c r="G277" t="s">
        <v>157</v>
      </c>
      <c r="H277" s="1">
        <v>44122</v>
      </c>
      <c r="I277" t="s">
        <v>72</v>
      </c>
      <c r="J277" t="s">
        <v>61</v>
      </c>
      <c r="K277">
        <v>2020</v>
      </c>
      <c r="L277">
        <v>2587</v>
      </c>
      <c r="M277">
        <v>4</v>
      </c>
      <c r="N277">
        <v>188</v>
      </c>
      <c r="O277">
        <v>486356</v>
      </c>
      <c r="P277">
        <v>58362.720000000001</v>
      </c>
      <c r="Q277">
        <v>427993.28</v>
      </c>
      <c r="R277">
        <v>237.16</v>
      </c>
      <c r="S277">
        <v>10348</v>
      </c>
      <c r="T277">
        <v>417645.28</v>
      </c>
    </row>
    <row r="278" spans="1:20" x14ac:dyDescent="0.35">
      <c r="A278" t="s">
        <v>29</v>
      </c>
      <c r="B278" t="s">
        <v>30</v>
      </c>
      <c r="C278" t="s">
        <v>55</v>
      </c>
      <c r="D278" t="s">
        <v>160</v>
      </c>
      <c r="E278" t="s">
        <v>57</v>
      </c>
      <c r="F278" t="s">
        <v>161</v>
      </c>
      <c r="G278" t="s">
        <v>157</v>
      </c>
      <c r="H278" s="1">
        <v>43998</v>
      </c>
      <c r="I278" t="s">
        <v>144</v>
      </c>
      <c r="J278" t="s">
        <v>78</v>
      </c>
      <c r="K278">
        <v>2020</v>
      </c>
      <c r="L278">
        <v>3227</v>
      </c>
      <c r="M278">
        <v>4</v>
      </c>
      <c r="N278">
        <v>23</v>
      </c>
      <c r="O278">
        <v>74221</v>
      </c>
      <c r="P278">
        <v>8906.52</v>
      </c>
      <c r="Q278">
        <v>65314.479999999996</v>
      </c>
      <c r="R278">
        <v>35.494800000000005</v>
      </c>
      <c r="S278">
        <v>12908</v>
      </c>
      <c r="T278">
        <v>52406.479999999996</v>
      </c>
    </row>
    <row r="279" spans="1:20" x14ac:dyDescent="0.35">
      <c r="A279" t="s">
        <v>37</v>
      </c>
      <c r="B279" t="s">
        <v>21</v>
      </c>
      <c r="C279" t="s">
        <v>22</v>
      </c>
      <c r="D279" t="s">
        <v>110</v>
      </c>
      <c r="E279" t="s">
        <v>24</v>
      </c>
      <c r="F279" t="s">
        <v>111</v>
      </c>
      <c r="G279" t="s">
        <v>157</v>
      </c>
      <c r="H279" s="1">
        <v>44167</v>
      </c>
      <c r="I279" t="s">
        <v>64</v>
      </c>
      <c r="J279" t="s">
        <v>61</v>
      </c>
      <c r="K279">
        <v>2020</v>
      </c>
      <c r="L279">
        <v>2904</v>
      </c>
      <c r="M279">
        <v>6</v>
      </c>
      <c r="N279">
        <v>11</v>
      </c>
      <c r="O279">
        <v>31944</v>
      </c>
      <c r="P279">
        <v>3833.2799999999997</v>
      </c>
      <c r="Q279">
        <v>28110.720000000001</v>
      </c>
      <c r="R279">
        <v>14.907200000000001</v>
      </c>
      <c r="S279">
        <v>17424</v>
      </c>
      <c r="T279">
        <v>10686.720000000001</v>
      </c>
    </row>
    <row r="280" spans="1:20" x14ac:dyDescent="0.35">
      <c r="A280" t="s">
        <v>37</v>
      </c>
      <c r="B280" t="s">
        <v>47</v>
      </c>
      <c r="C280" t="s">
        <v>31</v>
      </c>
      <c r="D280" t="s">
        <v>94</v>
      </c>
      <c r="E280" t="s">
        <v>33</v>
      </c>
      <c r="F280" t="s">
        <v>95</v>
      </c>
      <c r="G280" t="s">
        <v>157</v>
      </c>
      <c r="H280" s="1">
        <v>44008</v>
      </c>
      <c r="I280" t="s">
        <v>144</v>
      </c>
      <c r="J280" t="s">
        <v>78</v>
      </c>
      <c r="K280">
        <v>2020</v>
      </c>
      <c r="L280">
        <v>1063</v>
      </c>
      <c r="M280">
        <v>12</v>
      </c>
      <c r="N280">
        <v>525</v>
      </c>
      <c r="O280">
        <v>558075</v>
      </c>
      <c r="P280">
        <v>66969</v>
      </c>
      <c r="Q280">
        <v>491106</v>
      </c>
      <c r="R280">
        <v>272.88799999999998</v>
      </c>
      <c r="S280">
        <v>12756</v>
      </c>
      <c r="T280">
        <v>478350</v>
      </c>
    </row>
    <row r="281" spans="1:20" x14ac:dyDescent="0.35">
      <c r="A281" t="s">
        <v>20</v>
      </c>
      <c r="B281" t="s">
        <v>47</v>
      </c>
      <c r="C281" t="s">
        <v>31</v>
      </c>
      <c r="D281" t="s">
        <v>75</v>
      </c>
      <c r="E281" t="s">
        <v>33</v>
      </c>
      <c r="F281" t="s">
        <v>76</v>
      </c>
      <c r="G281" t="s">
        <v>157</v>
      </c>
      <c r="H281" s="1">
        <v>44006</v>
      </c>
      <c r="I281" t="s">
        <v>144</v>
      </c>
      <c r="J281" t="s">
        <v>78</v>
      </c>
      <c r="K281">
        <v>2020</v>
      </c>
      <c r="L281">
        <v>2587</v>
      </c>
      <c r="M281">
        <v>12</v>
      </c>
      <c r="N281">
        <v>188</v>
      </c>
      <c r="O281">
        <v>486356</v>
      </c>
      <c r="P281">
        <v>58362.720000000001</v>
      </c>
      <c r="Q281">
        <v>427993.28</v>
      </c>
      <c r="R281">
        <v>237.16</v>
      </c>
      <c r="S281">
        <v>31044</v>
      </c>
      <c r="T281">
        <v>396949.28</v>
      </c>
    </row>
    <row r="282" spans="1:20" x14ac:dyDescent="0.35">
      <c r="A282" t="s">
        <v>37</v>
      </c>
      <c r="B282" t="s">
        <v>38</v>
      </c>
      <c r="C282" t="s">
        <v>31</v>
      </c>
      <c r="D282" t="s">
        <v>117</v>
      </c>
      <c r="E282" t="s">
        <v>33</v>
      </c>
      <c r="F282" t="s">
        <v>118</v>
      </c>
      <c r="G282" t="s">
        <v>157</v>
      </c>
      <c r="H282" s="1">
        <v>44024</v>
      </c>
      <c r="I282" t="s">
        <v>89</v>
      </c>
      <c r="J282" t="s">
        <v>28</v>
      </c>
      <c r="K282">
        <v>2020</v>
      </c>
      <c r="L282">
        <v>1913</v>
      </c>
      <c r="M282">
        <v>12</v>
      </c>
      <c r="N282">
        <v>525</v>
      </c>
      <c r="O282">
        <v>1004325</v>
      </c>
      <c r="P282">
        <v>120519</v>
      </c>
      <c r="Q282">
        <v>883806</v>
      </c>
      <c r="R282">
        <v>490.952</v>
      </c>
      <c r="S282">
        <v>22956</v>
      </c>
      <c r="T282">
        <v>860850</v>
      </c>
    </row>
    <row r="283" spans="1:20" x14ac:dyDescent="0.35">
      <c r="A283" t="s">
        <v>53</v>
      </c>
      <c r="B283" t="s">
        <v>65</v>
      </c>
      <c r="C283" t="s">
        <v>31</v>
      </c>
      <c r="D283" t="s">
        <v>143</v>
      </c>
      <c r="E283" t="s">
        <v>33</v>
      </c>
      <c r="F283" t="s">
        <v>126</v>
      </c>
      <c r="G283" t="s">
        <v>157</v>
      </c>
      <c r="H283" s="1">
        <v>44129</v>
      </c>
      <c r="I283" t="s">
        <v>72</v>
      </c>
      <c r="J283" t="s">
        <v>61</v>
      </c>
      <c r="K283">
        <v>2020</v>
      </c>
      <c r="L283">
        <v>1631</v>
      </c>
      <c r="M283">
        <v>12</v>
      </c>
      <c r="N283">
        <v>450</v>
      </c>
      <c r="O283">
        <v>733950</v>
      </c>
      <c r="P283">
        <v>88074</v>
      </c>
      <c r="Q283">
        <v>645876</v>
      </c>
      <c r="R283">
        <v>358.77600000000001</v>
      </c>
      <c r="S283">
        <v>19572</v>
      </c>
      <c r="T283">
        <v>626304</v>
      </c>
    </row>
    <row r="284" spans="1:20" x14ac:dyDescent="0.35">
      <c r="A284" t="s">
        <v>29</v>
      </c>
      <c r="B284" t="s">
        <v>42</v>
      </c>
      <c r="C284" t="s">
        <v>48</v>
      </c>
      <c r="D284" t="s">
        <v>202</v>
      </c>
      <c r="E284" t="s">
        <v>50</v>
      </c>
      <c r="F284" t="s">
        <v>116</v>
      </c>
      <c r="G284" t="s">
        <v>157</v>
      </c>
      <c r="H284" s="1">
        <v>44187</v>
      </c>
      <c r="I284" t="s">
        <v>64</v>
      </c>
      <c r="J284" t="s">
        <v>61</v>
      </c>
      <c r="K284">
        <v>2020</v>
      </c>
      <c r="L284">
        <v>4649</v>
      </c>
      <c r="M284">
        <v>308</v>
      </c>
      <c r="N284">
        <v>23</v>
      </c>
      <c r="O284">
        <v>106927</v>
      </c>
      <c r="P284">
        <v>12831.24</v>
      </c>
      <c r="Q284">
        <v>94095.76</v>
      </c>
      <c r="R284">
        <v>51.143399999999993</v>
      </c>
      <c r="S284">
        <v>1431892</v>
      </c>
      <c r="T284">
        <v>-1337796.24</v>
      </c>
    </row>
    <row r="285" spans="1:20" x14ac:dyDescent="0.35">
      <c r="A285" t="s">
        <v>37</v>
      </c>
      <c r="B285" t="s">
        <v>30</v>
      </c>
      <c r="C285" t="s">
        <v>48</v>
      </c>
      <c r="D285" t="s">
        <v>231</v>
      </c>
      <c r="E285" t="s">
        <v>50</v>
      </c>
      <c r="F285" t="s">
        <v>232</v>
      </c>
      <c r="G285" t="s">
        <v>157</v>
      </c>
      <c r="H285" s="1">
        <v>43938</v>
      </c>
      <c r="I285" t="s">
        <v>112</v>
      </c>
      <c r="J285" t="s">
        <v>78</v>
      </c>
      <c r="K285">
        <v>2020</v>
      </c>
      <c r="L285">
        <v>1480</v>
      </c>
      <c r="M285">
        <v>308</v>
      </c>
      <c r="N285">
        <v>30</v>
      </c>
      <c r="O285">
        <v>44400</v>
      </c>
      <c r="P285">
        <v>5328</v>
      </c>
      <c r="Q285">
        <v>39072</v>
      </c>
      <c r="R285">
        <v>21.700800000000001</v>
      </c>
      <c r="S285">
        <v>455840</v>
      </c>
      <c r="T285">
        <v>-416768</v>
      </c>
    </row>
    <row r="286" spans="1:20" x14ac:dyDescent="0.35">
      <c r="A286" t="s">
        <v>37</v>
      </c>
      <c r="B286" t="s">
        <v>47</v>
      </c>
      <c r="C286" t="s">
        <v>102</v>
      </c>
      <c r="D286" t="s">
        <v>224</v>
      </c>
      <c r="E286" t="s">
        <v>104</v>
      </c>
      <c r="F286" t="s">
        <v>225</v>
      </c>
      <c r="G286" t="s">
        <v>157</v>
      </c>
      <c r="H286" s="1">
        <v>43857</v>
      </c>
      <c r="I286" t="s">
        <v>35</v>
      </c>
      <c r="J286" t="s">
        <v>36</v>
      </c>
      <c r="K286">
        <v>2020</v>
      </c>
      <c r="L286">
        <v>324</v>
      </c>
      <c r="M286">
        <v>320</v>
      </c>
      <c r="N286">
        <v>525</v>
      </c>
      <c r="O286">
        <v>170100</v>
      </c>
      <c r="P286">
        <v>20412</v>
      </c>
      <c r="Q286">
        <v>149688</v>
      </c>
      <c r="R286">
        <v>83.16</v>
      </c>
      <c r="S286">
        <v>103680</v>
      </c>
      <c r="T286">
        <v>46008</v>
      </c>
    </row>
    <row r="287" spans="1:20" x14ac:dyDescent="0.35">
      <c r="A287" t="s">
        <v>79</v>
      </c>
      <c r="B287" t="s">
        <v>47</v>
      </c>
      <c r="C287" t="s">
        <v>22</v>
      </c>
      <c r="D287" t="s">
        <v>278</v>
      </c>
      <c r="E287" t="s">
        <v>24</v>
      </c>
      <c r="F287" t="s">
        <v>150</v>
      </c>
      <c r="G287" t="s">
        <v>157</v>
      </c>
      <c r="H287" s="1">
        <v>44024</v>
      </c>
      <c r="I287" t="s">
        <v>89</v>
      </c>
      <c r="J287" t="s">
        <v>28</v>
      </c>
      <c r="K287">
        <v>2020</v>
      </c>
      <c r="L287">
        <v>3193</v>
      </c>
      <c r="M287">
        <v>6</v>
      </c>
      <c r="N287">
        <v>18</v>
      </c>
      <c r="O287">
        <v>57474</v>
      </c>
      <c r="P287">
        <v>6896.88</v>
      </c>
      <c r="Q287">
        <v>50577.120000000003</v>
      </c>
      <c r="R287">
        <v>28.100159999999999</v>
      </c>
      <c r="S287">
        <v>19158</v>
      </c>
      <c r="T287">
        <v>31419.120000000003</v>
      </c>
    </row>
    <row r="288" spans="1:20" x14ac:dyDescent="0.35">
      <c r="A288" t="s">
        <v>37</v>
      </c>
      <c r="B288" t="s">
        <v>47</v>
      </c>
      <c r="C288" t="s">
        <v>31</v>
      </c>
      <c r="D288" t="s">
        <v>149</v>
      </c>
      <c r="E288" t="s">
        <v>33</v>
      </c>
      <c r="F288" t="s">
        <v>150</v>
      </c>
      <c r="G288" t="s">
        <v>157</v>
      </c>
      <c r="H288" s="1">
        <v>43970</v>
      </c>
      <c r="I288" t="s">
        <v>77</v>
      </c>
      <c r="J288" t="s">
        <v>78</v>
      </c>
      <c r="K288">
        <v>2020</v>
      </c>
      <c r="L288">
        <v>1837</v>
      </c>
      <c r="M288">
        <v>12</v>
      </c>
      <c r="N288">
        <v>30</v>
      </c>
      <c r="O288">
        <v>55110</v>
      </c>
      <c r="P288">
        <v>6613.2000000000007</v>
      </c>
      <c r="Q288">
        <v>48496.800000000003</v>
      </c>
      <c r="R288">
        <v>26.945599999999999</v>
      </c>
      <c r="S288">
        <v>22044</v>
      </c>
      <c r="T288">
        <v>26452.800000000003</v>
      </c>
    </row>
    <row r="289" spans="1:20" x14ac:dyDescent="0.35">
      <c r="A289" t="s">
        <v>37</v>
      </c>
      <c r="B289" t="s">
        <v>47</v>
      </c>
      <c r="C289" t="s">
        <v>48</v>
      </c>
      <c r="D289" t="s">
        <v>49</v>
      </c>
      <c r="E289" t="s">
        <v>50</v>
      </c>
      <c r="F289" t="s">
        <v>51</v>
      </c>
      <c r="G289" t="s">
        <v>157</v>
      </c>
      <c r="H289" s="1">
        <v>43913</v>
      </c>
      <c r="I289" t="s">
        <v>109</v>
      </c>
      <c r="J289" t="s">
        <v>36</v>
      </c>
      <c r="K289">
        <v>2020</v>
      </c>
      <c r="L289">
        <v>1789</v>
      </c>
      <c r="M289">
        <v>308</v>
      </c>
      <c r="N289">
        <v>11</v>
      </c>
      <c r="O289">
        <v>19679</v>
      </c>
      <c r="P289">
        <v>2361.48</v>
      </c>
      <c r="Q289">
        <v>17317.52</v>
      </c>
      <c r="R289">
        <v>9.1845599999999994</v>
      </c>
      <c r="S289">
        <v>551012</v>
      </c>
      <c r="T289">
        <v>-533694.48</v>
      </c>
    </row>
    <row r="290" spans="1:20" x14ac:dyDescent="0.35">
      <c r="A290" t="s">
        <v>37</v>
      </c>
      <c r="B290" t="s">
        <v>47</v>
      </c>
      <c r="C290" t="s">
        <v>48</v>
      </c>
      <c r="D290" t="s">
        <v>123</v>
      </c>
      <c r="E290" t="s">
        <v>50</v>
      </c>
      <c r="F290" t="s">
        <v>124</v>
      </c>
      <c r="G290" t="s">
        <v>157</v>
      </c>
      <c r="H290" s="1">
        <v>44090</v>
      </c>
      <c r="I290" t="s">
        <v>27</v>
      </c>
      <c r="J290" t="s">
        <v>28</v>
      </c>
      <c r="K290">
        <v>2020</v>
      </c>
      <c r="L290">
        <v>1837</v>
      </c>
      <c r="M290">
        <v>308</v>
      </c>
      <c r="N290">
        <v>30</v>
      </c>
      <c r="O290">
        <v>55110</v>
      </c>
      <c r="P290">
        <v>6613.2000000000007</v>
      </c>
      <c r="Q290">
        <v>48496.800000000003</v>
      </c>
      <c r="R290">
        <v>26.945599999999999</v>
      </c>
      <c r="S290">
        <v>565796</v>
      </c>
      <c r="T290">
        <v>-517299.20000000001</v>
      </c>
    </row>
    <row r="291" spans="1:20" x14ac:dyDescent="0.35">
      <c r="A291" t="s">
        <v>29</v>
      </c>
      <c r="B291" t="s">
        <v>47</v>
      </c>
      <c r="C291" t="s">
        <v>55</v>
      </c>
      <c r="D291" t="s">
        <v>249</v>
      </c>
      <c r="E291" t="s">
        <v>57</v>
      </c>
      <c r="F291" t="s">
        <v>195</v>
      </c>
      <c r="G291" t="s">
        <v>157</v>
      </c>
      <c r="H291" s="1">
        <v>44169</v>
      </c>
      <c r="I291" t="s">
        <v>64</v>
      </c>
      <c r="J291" t="s">
        <v>61</v>
      </c>
      <c r="K291">
        <v>2020</v>
      </c>
      <c r="L291">
        <v>3080</v>
      </c>
      <c r="M291">
        <v>4</v>
      </c>
      <c r="N291">
        <v>23</v>
      </c>
      <c r="O291">
        <v>70840</v>
      </c>
      <c r="P291">
        <v>9209.1999999999989</v>
      </c>
      <c r="Q291">
        <v>61630.8</v>
      </c>
      <c r="R291">
        <v>33.49935</v>
      </c>
      <c r="S291">
        <v>12320</v>
      </c>
      <c r="T291">
        <v>49310.8</v>
      </c>
    </row>
    <row r="292" spans="1:20" x14ac:dyDescent="0.35">
      <c r="A292" t="s">
        <v>29</v>
      </c>
      <c r="B292" t="s">
        <v>54</v>
      </c>
      <c r="C292" t="s">
        <v>48</v>
      </c>
      <c r="D292" t="s">
        <v>279</v>
      </c>
      <c r="E292" t="s">
        <v>50</v>
      </c>
      <c r="F292" t="s">
        <v>163</v>
      </c>
      <c r="G292" t="s">
        <v>157</v>
      </c>
      <c r="H292" s="1">
        <v>44003</v>
      </c>
      <c r="I292" t="s">
        <v>144</v>
      </c>
      <c r="J292" t="s">
        <v>78</v>
      </c>
      <c r="K292">
        <v>2020</v>
      </c>
      <c r="L292">
        <v>3080</v>
      </c>
      <c r="M292">
        <v>308</v>
      </c>
      <c r="N292">
        <v>23</v>
      </c>
      <c r="O292">
        <v>70840</v>
      </c>
      <c r="P292">
        <v>9209.1999999999989</v>
      </c>
      <c r="Q292">
        <v>61630.8</v>
      </c>
      <c r="R292">
        <v>33.49935</v>
      </c>
      <c r="S292">
        <v>948640</v>
      </c>
      <c r="T292">
        <v>-887009.2</v>
      </c>
    </row>
    <row r="293" spans="1:20" x14ac:dyDescent="0.35">
      <c r="A293" t="s">
        <v>37</v>
      </c>
      <c r="B293" t="s">
        <v>65</v>
      </c>
      <c r="C293" t="s">
        <v>55</v>
      </c>
      <c r="D293" t="s">
        <v>70</v>
      </c>
      <c r="E293" t="s">
        <v>57</v>
      </c>
      <c r="F293" t="s">
        <v>71</v>
      </c>
      <c r="G293" t="s">
        <v>157</v>
      </c>
      <c r="H293" s="1">
        <v>44039</v>
      </c>
      <c r="I293" t="s">
        <v>89</v>
      </c>
      <c r="J293" t="s">
        <v>28</v>
      </c>
      <c r="K293">
        <v>2020</v>
      </c>
      <c r="L293">
        <v>2148</v>
      </c>
      <c r="M293">
        <v>4</v>
      </c>
      <c r="N293">
        <v>525</v>
      </c>
      <c r="O293">
        <v>1127700</v>
      </c>
      <c r="P293">
        <v>146601</v>
      </c>
      <c r="Q293">
        <v>981099</v>
      </c>
      <c r="R293">
        <v>545.05499999999995</v>
      </c>
      <c r="S293">
        <v>8592</v>
      </c>
      <c r="T293">
        <v>972507</v>
      </c>
    </row>
    <row r="294" spans="1:20" x14ac:dyDescent="0.35">
      <c r="A294" t="s">
        <v>79</v>
      </c>
      <c r="B294" t="s">
        <v>47</v>
      </c>
      <c r="C294" t="s">
        <v>22</v>
      </c>
      <c r="D294" t="s">
        <v>278</v>
      </c>
      <c r="E294" t="s">
        <v>24</v>
      </c>
      <c r="F294" t="s">
        <v>150</v>
      </c>
      <c r="G294" t="s">
        <v>157</v>
      </c>
      <c r="H294" s="1">
        <v>44022</v>
      </c>
      <c r="I294" t="s">
        <v>89</v>
      </c>
      <c r="J294" t="s">
        <v>28</v>
      </c>
      <c r="K294">
        <v>2020</v>
      </c>
      <c r="L294">
        <v>725</v>
      </c>
      <c r="M294">
        <v>6</v>
      </c>
      <c r="N294">
        <v>18</v>
      </c>
      <c r="O294">
        <v>13050</v>
      </c>
      <c r="P294">
        <v>1696.5</v>
      </c>
      <c r="Q294">
        <v>11353.5</v>
      </c>
      <c r="R294">
        <v>6.3057600000000003</v>
      </c>
      <c r="S294">
        <v>4350</v>
      </c>
      <c r="T294">
        <v>7003.5</v>
      </c>
    </row>
    <row r="295" spans="1:20" x14ac:dyDescent="0.35">
      <c r="A295" t="s">
        <v>37</v>
      </c>
      <c r="B295" t="s">
        <v>54</v>
      </c>
      <c r="C295" t="s">
        <v>22</v>
      </c>
      <c r="D295" t="s">
        <v>96</v>
      </c>
      <c r="E295" t="s">
        <v>24</v>
      </c>
      <c r="F295" t="s">
        <v>97</v>
      </c>
      <c r="G295" t="s">
        <v>157</v>
      </c>
      <c r="H295" s="1">
        <v>43937</v>
      </c>
      <c r="I295" t="s">
        <v>112</v>
      </c>
      <c r="J295" t="s">
        <v>78</v>
      </c>
      <c r="K295">
        <v>2020</v>
      </c>
      <c r="L295">
        <v>1499</v>
      </c>
      <c r="M295">
        <v>6</v>
      </c>
      <c r="N295">
        <v>30</v>
      </c>
      <c r="O295">
        <v>44970</v>
      </c>
      <c r="P295">
        <v>5846.1</v>
      </c>
      <c r="Q295">
        <v>39123.9</v>
      </c>
      <c r="R295">
        <v>21.732599999999998</v>
      </c>
      <c r="S295">
        <v>8994</v>
      </c>
      <c r="T295">
        <v>30129.9</v>
      </c>
    </row>
    <row r="296" spans="1:20" x14ac:dyDescent="0.35">
      <c r="A296" t="s">
        <v>37</v>
      </c>
      <c r="B296" t="s">
        <v>54</v>
      </c>
      <c r="C296" t="s">
        <v>31</v>
      </c>
      <c r="D296" t="s">
        <v>183</v>
      </c>
      <c r="E296" t="s">
        <v>33</v>
      </c>
      <c r="F296" t="s">
        <v>184</v>
      </c>
      <c r="G296" t="s">
        <v>157</v>
      </c>
      <c r="H296" s="1">
        <v>44101</v>
      </c>
      <c r="I296" t="s">
        <v>27</v>
      </c>
      <c r="J296" t="s">
        <v>28</v>
      </c>
      <c r="K296">
        <v>2020</v>
      </c>
      <c r="L296">
        <v>1726</v>
      </c>
      <c r="M296">
        <v>12</v>
      </c>
      <c r="N296">
        <v>11</v>
      </c>
      <c r="O296">
        <v>18986</v>
      </c>
      <c r="P296">
        <v>2468.1800000000003</v>
      </c>
      <c r="Q296">
        <v>16517.82</v>
      </c>
      <c r="R296">
        <v>8.7604649999999999</v>
      </c>
      <c r="S296">
        <v>20712</v>
      </c>
      <c r="T296">
        <v>-4194.18</v>
      </c>
    </row>
    <row r="297" spans="1:20" x14ac:dyDescent="0.35">
      <c r="A297" t="s">
        <v>37</v>
      </c>
      <c r="B297" t="s">
        <v>38</v>
      </c>
      <c r="C297" t="s">
        <v>31</v>
      </c>
      <c r="D297" t="s">
        <v>39</v>
      </c>
      <c r="E297" t="s">
        <v>33</v>
      </c>
      <c r="F297" t="s">
        <v>40</v>
      </c>
      <c r="G297" t="s">
        <v>157</v>
      </c>
      <c r="H297" s="1">
        <v>44156</v>
      </c>
      <c r="I297" t="s">
        <v>60</v>
      </c>
      <c r="J297" t="s">
        <v>61</v>
      </c>
      <c r="K297">
        <v>2020</v>
      </c>
      <c r="L297">
        <v>3158</v>
      </c>
      <c r="M297">
        <v>12</v>
      </c>
      <c r="N297">
        <v>525</v>
      </c>
      <c r="O297">
        <v>1657950</v>
      </c>
      <c r="P297">
        <v>215533.5</v>
      </c>
      <c r="Q297">
        <v>1442416.5</v>
      </c>
      <c r="R297">
        <v>801.44399999999996</v>
      </c>
      <c r="S297">
        <v>37896</v>
      </c>
      <c r="T297">
        <v>1404520.5</v>
      </c>
    </row>
    <row r="298" spans="1:20" x14ac:dyDescent="0.35">
      <c r="A298" t="s">
        <v>79</v>
      </c>
      <c r="B298" t="s">
        <v>42</v>
      </c>
      <c r="C298" t="s">
        <v>31</v>
      </c>
      <c r="D298" t="s">
        <v>145</v>
      </c>
      <c r="E298" t="s">
        <v>33</v>
      </c>
      <c r="F298" t="s">
        <v>146</v>
      </c>
      <c r="G298" t="s">
        <v>157</v>
      </c>
      <c r="H298" s="1">
        <v>44073</v>
      </c>
      <c r="I298" t="s">
        <v>41</v>
      </c>
      <c r="J298" t="s">
        <v>28</v>
      </c>
      <c r="K298">
        <v>2020</v>
      </c>
      <c r="L298">
        <v>685</v>
      </c>
      <c r="M298">
        <v>12</v>
      </c>
      <c r="N298">
        <v>18</v>
      </c>
      <c r="O298">
        <v>12330</v>
      </c>
      <c r="P298">
        <v>1602.9</v>
      </c>
      <c r="Q298">
        <v>10727.1</v>
      </c>
      <c r="R298">
        <v>5.9612400000000001</v>
      </c>
      <c r="S298">
        <v>8220</v>
      </c>
      <c r="T298">
        <v>2507.1000000000004</v>
      </c>
    </row>
    <row r="299" spans="1:20" x14ac:dyDescent="0.35">
      <c r="A299" t="s">
        <v>37</v>
      </c>
      <c r="B299" t="s">
        <v>38</v>
      </c>
      <c r="C299" t="s">
        <v>31</v>
      </c>
      <c r="D299" t="s">
        <v>39</v>
      </c>
      <c r="E299" t="s">
        <v>33</v>
      </c>
      <c r="F299" t="s">
        <v>40</v>
      </c>
      <c r="G299" t="s">
        <v>157</v>
      </c>
      <c r="H299" s="1">
        <v>44192</v>
      </c>
      <c r="I299" t="s">
        <v>64</v>
      </c>
      <c r="J299" t="s">
        <v>61</v>
      </c>
      <c r="K299">
        <v>2020</v>
      </c>
      <c r="L299">
        <v>1499</v>
      </c>
      <c r="M299">
        <v>12</v>
      </c>
      <c r="N299">
        <v>30</v>
      </c>
      <c r="O299">
        <v>44970</v>
      </c>
      <c r="P299">
        <v>5846.1</v>
      </c>
      <c r="Q299">
        <v>39123.9</v>
      </c>
      <c r="R299">
        <v>21.732599999999998</v>
      </c>
      <c r="S299">
        <v>17988</v>
      </c>
      <c r="T299">
        <v>21135.9</v>
      </c>
    </row>
    <row r="300" spans="1:20" x14ac:dyDescent="0.35">
      <c r="A300" t="s">
        <v>37</v>
      </c>
      <c r="B300" t="s">
        <v>47</v>
      </c>
      <c r="C300" t="s">
        <v>31</v>
      </c>
      <c r="D300" t="s">
        <v>149</v>
      </c>
      <c r="E300" t="s">
        <v>33</v>
      </c>
      <c r="F300" t="s">
        <v>150</v>
      </c>
      <c r="G300" t="s">
        <v>157</v>
      </c>
      <c r="H300" s="1">
        <v>43834</v>
      </c>
      <c r="I300" t="s">
        <v>35</v>
      </c>
      <c r="J300" t="s">
        <v>36</v>
      </c>
      <c r="K300">
        <v>2020</v>
      </c>
      <c r="L300">
        <v>428</v>
      </c>
      <c r="M300">
        <v>12</v>
      </c>
      <c r="N300">
        <v>525</v>
      </c>
      <c r="O300">
        <v>224700</v>
      </c>
      <c r="P300">
        <v>29211</v>
      </c>
      <c r="Q300">
        <v>195489</v>
      </c>
      <c r="R300">
        <v>108.70650000000001</v>
      </c>
      <c r="S300">
        <v>5136</v>
      </c>
      <c r="T300">
        <v>190353</v>
      </c>
    </row>
    <row r="301" spans="1:20" x14ac:dyDescent="0.35">
      <c r="A301" t="s">
        <v>29</v>
      </c>
      <c r="B301" t="s">
        <v>84</v>
      </c>
      <c r="C301" t="s">
        <v>43</v>
      </c>
      <c r="D301" t="s">
        <v>280</v>
      </c>
      <c r="E301" t="s">
        <v>45</v>
      </c>
      <c r="F301" t="s">
        <v>281</v>
      </c>
      <c r="G301" t="s">
        <v>157</v>
      </c>
      <c r="H301" s="1">
        <v>44187</v>
      </c>
      <c r="I301" t="s">
        <v>64</v>
      </c>
      <c r="J301" t="s">
        <v>61</v>
      </c>
      <c r="K301">
        <v>2020</v>
      </c>
      <c r="L301">
        <v>4797</v>
      </c>
      <c r="M301">
        <v>148</v>
      </c>
      <c r="N301">
        <v>23</v>
      </c>
      <c r="O301">
        <v>110331</v>
      </c>
      <c r="P301">
        <v>14343.03</v>
      </c>
      <c r="Q301">
        <v>95987.97</v>
      </c>
      <c r="R301">
        <v>52.167375</v>
      </c>
      <c r="S301">
        <v>709956</v>
      </c>
      <c r="T301">
        <v>-613968.03</v>
      </c>
    </row>
    <row r="302" spans="1:20" x14ac:dyDescent="0.35">
      <c r="A302" t="s">
        <v>37</v>
      </c>
      <c r="B302" t="s">
        <v>84</v>
      </c>
      <c r="C302" t="s">
        <v>43</v>
      </c>
      <c r="D302" t="s">
        <v>131</v>
      </c>
      <c r="E302" t="s">
        <v>45</v>
      </c>
      <c r="F302" t="s">
        <v>132</v>
      </c>
      <c r="G302" t="s">
        <v>157</v>
      </c>
      <c r="H302" s="1">
        <v>43958</v>
      </c>
      <c r="I302" t="s">
        <v>77</v>
      </c>
      <c r="J302" t="s">
        <v>78</v>
      </c>
      <c r="K302">
        <v>2020</v>
      </c>
      <c r="L302">
        <v>1428</v>
      </c>
      <c r="M302">
        <v>148</v>
      </c>
      <c r="N302">
        <v>11</v>
      </c>
      <c r="O302">
        <v>15708</v>
      </c>
      <c r="P302">
        <v>2042.04</v>
      </c>
      <c r="Q302">
        <v>13665.96</v>
      </c>
      <c r="R302">
        <v>7.2471000000000005</v>
      </c>
      <c r="S302">
        <v>211344</v>
      </c>
      <c r="T302">
        <v>-197678.04</v>
      </c>
    </row>
    <row r="303" spans="1:20" x14ac:dyDescent="0.35">
      <c r="A303" t="s">
        <v>79</v>
      </c>
      <c r="B303" t="s">
        <v>38</v>
      </c>
      <c r="C303" t="s">
        <v>43</v>
      </c>
      <c r="D303" t="s">
        <v>282</v>
      </c>
      <c r="E303" t="s">
        <v>45</v>
      </c>
      <c r="F303" t="s">
        <v>260</v>
      </c>
      <c r="G303" t="s">
        <v>157</v>
      </c>
      <c r="H303" s="1">
        <v>44084</v>
      </c>
      <c r="I303" t="s">
        <v>27</v>
      </c>
      <c r="J303" t="s">
        <v>28</v>
      </c>
      <c r="K303">
        <v>2020</v>
      </c>
      <c r="L303">
        <v>725</v>
      </c>
      <c r="M303">
        <v>148</v>
      </c>
      <c r="N303">
        <v>18</v>
      </c>
      <c r="O303">
        <v>13050</v>
      </c>
      <c r="P303">
        <v>1696.5</v>
      </c>
      <c r="Q303">
        <v>11353.5</v>
      </c>
      <c r="R303">
        <v>6.3057600000000003</v>
      </c>
      <c r="S303">
        <v>107300</v>
      </c>
      <c r="T303">
        <v>-95946.5</v>
      </c>
    </row>
    <row r="304" spans="1:20" x14ac:dyDescent="0.35">
      <c r="A304" t="s">
        <v>20</v>
      </c>
      <c r="B304" t="s">
        <v>21</v>
      </c>
      <c r="C304" t="s">
        <v>48</v>
      </c>
      <c r="D304" t="s">
        <v>187</v>
      </c>
      <c r="E304" t="s">
        <v>50</v>
      </c>
      <c r="F304" t="s">
        <v>188</v>
      </c>
      <c r="G304" t="s">
        <v>157</v>
      </c>
      <c r="H304" s="1">
        <v>44088</v>
      </c>
      <c r="I304" t="s">
        <v>27</v>
      </c>
      <c r="J304" t="s">
        <v>28</v>
      </c>
      <c r="K304">
        <v>2020</v>
      </c>
      <c r="L304">
        <v>1900</v>
      </c>
      <c r="M304">
        <v>308</v>
      </c>
      <c r="N304">
        <v>188</v>
      </c>
      <c r="O304">
        <v>357200</v>
      </c>
      <c r="P304">
        <v>46436</v>
      </c>
      <c r="Q304">
        <v>310764</v>
      </c>
      <c r="R304">
        <v>172.15125</v>
      </c>
      <c r="S304">
        <v>585200</v>
      </c>
      <c r="T304">
        <v>-274436</v>
      </c>
    </row>
    <row r="305" spans="1:20" x14ac:dyDescent="0.35">
      <c r="A305" t="s">
        <v>20</v>
      </c>
      <c r="B305" t="s">
        <v>42</v>
      </c>
      <c r="C305" t="s">
        <v>102</v>
      </c>
      <c r="D305" t="s">
        <v>283</v>
      </c>
      <c r="E305" t="s">
        <v>104</v>
      </c>
      <c r="F305" t="s">
        <v>171</v>
      </c>
      <c r="G305" t="s">
        <v>157</v>
      </c>
      <c r="H305" s="1">
        <v>44065</v>
      </c>
      <c r="I305" t="s">
        <v>41</v>
      </c>
      <c r="J305" t="s">
        <v>28</v>
      </c>
      <c r="K305">
        <v>2020</v>
      </c>
      <c r="L305">
        <v>1991</v>
      </c>
      <c r="M305">
        <v>320</v>
      </c>
      <c r="N305">
        <v>188</v>
      </c>
      <c r="O305">
        <v>374308</v>
      </c>
      <c r="P305">
        <v>48660.04</v>
      </c>
      <c r="Q305">
        <v>325647.96000000002</v>
      </c>
      <c r="R305">
        <v>180.41624999999999</v>
      </c>
      <c r="S305">
        <v>637120</v>
      </c>
      <c r="T305">
        <v>-311472.03999999998</v>
      </c>
    </row>
    <row r="306" spans="1:20" x14ac:dyDescent="0.35">
      <c r="A306" t="s">
        <v>37</v>
      </c>
      <c r="B306" t="s">
        <v>30</v>
      </c>
      <c r="C306" t="s">
        <v>55</v>
      </c>
      <c r="D306" t="s">
        <v>206</v>
      </c>
      <c r="E306" t="s">
        <v>57</v>
      </c>
      <c r="F306" t="s">
        <v>207</v>
      </c>
      <c r="G306" t="s">
        <v>157</v>
      </c>
      <c r="H306" s="1">
        <v>43893</v>
      </c>
      <c r="I306" t="s">
        <v>109</v>
      </c>
      <c r="J306" t="s">
        <v>36</v>
      </c>
      <c r="K306">
        <v>2020</v>
      </c>
      <c r="L306">
        <v>3095</v>
      </c>
      <c r="M306">
        <v>4</v>
      </c>
      <c r="N306">
        <v>30</v>
      </c>
      <c r="O306">
        <v>92850</v>
      </c>
      <c r="P306">
        <v>12998.999999999998</v>
      </c>
      <c r="Q306">
        <v>79851</v>
      </c>
      <c r="R306">
        <v>44.358800000000002</v>
      </c>
      <c r="S306">
        <v>12380</v>
      </c>
      <c r="T306">
        <v>67471</v>
      </c>
    </row>
    <row r="307" spans="1:20" x14ac:dyDescent="0.35">
      <c r="A307" t="s">
        <v>37</v>
      </c>
      <c r="B307" t="s">
        <v>47</v>
      </c>
      <c r="C307" t="s">
        <v>55</v>
      </c>
      <c r="D307" t="s">
        <v>172</v>
      </c>
      <c r="E307" t="s">
        <v>57</v>
      </c>
      <c r="F307" t="s">
        <v>173</v>
      </c>
      <c r="G307" t="s">
        <v>157</v>
      </c>
      <c r="H307" s="1">
        <v>44142</v>
      </c>
      <c r="I307" t="s">
        <v>60</v>
      </c>
      <c r="J307" t="s">
        <v>61</v>
      </c>
      <c r="K307">
        <v>2020</v>
      </c>
      <c r="L307">
        <v>336</v>
      </c>
      <c r="M307">
        <v>4</v>
      </c>
      <c r="N307">
        <v>11</v>
      </c>
      <c r="O307">
        <v>3696</v>
      </c>
      <c r="P307">
        <v>517.43999999999994</v>
      </c>
      <c r="Q307">
        <v>3178.56</v>
      </c>
      <c r="R307">
        <v>1.6856</v>
      </c>
      <c r="S307">
        <v>1344</v>
      </c>
      <c r="T307">
        <v>1834.56</v>
      </c>
    </row>
    <row r="308" spans="1:20" x14ac:dyDescent="0.35">
      <c r="A308" t="s">
        <v>37</v>
      </c>
      <c r="B308" t="s">
        <v>54</v>
      </c>
      <c r="C308" t="s">
        <v>22</v>
      </c>
      <c r="D308" t="s">
        <v>226</v>
      </c>
      <c r="E308" t="s">
        <v>24</v>
      </c>
      <c r="F308" t="s">
        <v>227</v>
      </c>
      <c r="G308" t="s">
        <v>157</v>
      </c>
      <c r="H308" s="1">
        <v>43954</v>
      </c>
      <c r="I308" t="s">
        <v>77</v>
      </c>
      <c r="J308" t="s">
        <v>78</v>
      </c>
      <c r="K308">
        <v>2020</v>
      </c>
      <c r="L308">
        <v>352</v>
      </c>
      <c r="M308">
        <v>6</v>
      </c>
      <c r="N308">
        <v>11</v>
      </c>
      <c r="O308">
        <v>3872</v>
      </c>
      <c r="P308">
        <v>542.07999999999993</v>
      </c>
      <c r="Q308">
        <v>3329.92</v>
      </c>
      <c r="R308">
        <v>1.7638600000000002</v>
      </c>
      <c r="S308">
        <v>2112</v>
      </c>
      <c r="T308">
        <v>1217.92</v>
      </c>
    </row>
    <row r="309" spans="1:20" x14ac:dyDescent="0.35">
      <c r="A309" t="s">
        <v>29</v>
      </c>
      <c r="B309" t="s">
        <v>84</v>
      </c>
      <c r="C309" t="s">
        <v>31</v>
      </c>
      <c r="D309" t="s">
        <v>210</v>
      </c>
      <c r="E309" t="s">
        <v>33</v>
      </c>
      <c r="F309" t="s">
        <v>211</v>
      </c>
      <c r="G309" t="s">
        <v>157</v>
      </c>
      <c r="H309" s="1">
        <v>44097</v>
      </c>
      <c r="I309" t="s">
        <v>27</v>
      </c>
      <c r="J309" t="s">
        <v>28</v>
      </c>
      <c r="K309">
        <v>2020</v>
      </c>
      <c r="L309">
        <v>334</v>
      </c>
      <c r="M309">
        <v>12</v>
      </c>
      <c r="N309">
        <v>23</v>
      </c>
      <c r="O309">
        <v>7682</v>
      </c>
      <c r="P309">
        <v>1075.4799999999998</v>
      </c>
      <c r="Q309">
        <v>6606.52</v>
      </c>
      <c r="R309">
        <v>3.5861999999999998</v>
      </c>
      <c r="S309">
        <v>4008</v>
      </c>
      <c r="T309">
        <v>2598.5200000000004</v>
      </c>
    </row>
    <row r="310" spans="1:20" x14ac:dyDescent="0.35">
      <c r="A310" t="s">
        <v>37</v>
      </c>
      <c r="B310" t="s">
        <v>38</v>
      </c>
      <c r="C310" t="s">
        <v>31</v>
      </c>
      <c r="D310" t="s">
        <v>39</v>
      </c>
      <c r="E310" t="s">
        <v>33</v>
      </c>
      <c r="F310" t="s">
        <v>40</v>
      </c>
      <c r="G310" t="s">
        <v>157</v>
      </c>
      <c r="H310" s="1">
        <v>44164</v>
      </c>
      <c r="I310" t="s">
        <v>60</v>
      </c>
      <c r="J310" t="s">
        <v>61</v>
      </c>
      <c r="K310">
        <v>2020</v>
      </c>
      <c r="L310">
        <v>2914</v>
      </c>
      <c r="M310">
        <v>12</v>
      </c>
      <c r="N310">
        <v>30</v>
      </c>
      <c r="O310">
        <v>87420</v>
      </c>
      <c r="P310">
        <v>12238.8</v>
      </c>
      <c r="Q310">
        <v>75181.2</v>
      </c>
      <c r="R310">
        <v>41.761600000000001</v>
      </c>
      <c r="S310">
        <v>34968</v>
      </c>
      <c r="T310">
        <v>40213.199999999997</v>
      </c>
    </row>
    <row r="311" spans="1:20" x14ac:dyDescent="0.35">
      <c r="A311" t="s">
        <v>79</v>
      </c>
      <c r="B311" t="s">
        <v>21</v>
      </c>
      <c r="C311" t="s">
        <v>31</v>
      </c>
      <c r="D311" t="s">
        <v>80</v>
      </c>
      <c r="E311" t="s">
        <v>33</v>
      </c>
      <c r="F311" t="s">
        <v>81</v>
      </c>
      <c r="G311" t="s">
        <v>157</v>
      </c>
      <c r="H311" s="1">
        <v>44159</v>
      </c>
      <c r="I311" t="s">
        <v>60</v>
      </c>
      <c r="J311" t="s">
        <v>61</v>
      </c>
      <c r="K311">
        <v>2020</v>
      </c>
      <c r="L311">
        <v>1672</v>
      </c>
      <c r="M311">
        <v>12</v>
      </c>
      <c r="N311">
        <v>18</v>
      </c>
      <c r="O311">
        <v>30096</v>
      </c>
      <c r="P311">
        <v>4213.4399999999996</v>
      </c>
      <c r="Q311">
        <v>25882.560000000001</v>
      </c>
      <c r="R311">
        <v>14.37576</v>
      </c>
      <c r="S311">
        <v>20064</v>
      </c>
      <c r="T311">
        <v>5818.5600000000013</v>
      </c>
    </row>
    <row r="312" spans="1:20" x14ac:dyDescent="0.35">
      <c r="A312" t="s">
        <v>37</v>
      </c>
      <c r="B312" t="s">
        <v>47</v>
      </c>
      <c r="C312" t="s">
        <v>48</v>
      </c>
      <c r="D312" t="s">
        <v>123</v>
      </c>
      <c r="E312" t="s">
        <v>50</v>
      </c>
      <c r="F312" t="s">
        <v>124</v>
      </c>
      <c r="G312" t="s">
        <v>157</v>
      </c>
      <c r="H312" s="1">
        <v>44128</v>
      </c>
      <c r="I312" t="s">
        <v>72</v>
      </c>
      <c r="J312" t="s">
        <v>61</v>
      </c>
      <c r="K312">
        <v>2020</v>
      </c>
      <c r="L312">
        <v>336</v>
      </c>
      <c r="M312">
        <v>308</v>
      </c>
      <c r="N312">
        <v>11</v>
      </c>
      <c r="O312">
        <v>3696</v>
      </c>
      <c r="P312">
        <v>517.43999999999994</v>
      </c>
      <c r="Q312">
        <v>3178.56</v>
      </c>
      <c r="R312">
        <v>1.6856</v>
      </c>
      <c r="S312">
        <v>103488</v>
      </c>
      <c r="T312">
        <v>-100309.44</v>
      </c>
    </row>
    <row r="313" spans="1:20" x14ac:dyDescent="0.35">
      <c r="A313" t="s">
        <v>53</v>
      </c>
      <c r="B313" t="s">
        <v>54</v>
      </c>
      <c r="C313" t="s">
        <v>55</v>
      </c>
      <c r="D313" t="s">
        <v>56</v>
      </c>
      <c r="E313" t="s">
        <v>57</v>
      </c>
      <c r="F313" t="s">
        <v>58</v>
      </c>
      <c r="G313" t="s">
        <v>157</v>
      </c>
      <c r="H313" s="1">
        <v>43871</v>
      </c>
      <c r="I313" t="s">
        <v>52</v>
      </c>
      <c r="J313" t="s">
        <v>36</v>
      </c>
      <c r="K313">
        <v>2020</v>
      </c>
      <c r="L313">
        <v>961</v>
      </c>
      <c r="M313">
        <v>4</v>
      </c>
      <c r="N313">
        <v>450</v>
      </c>
      <c r="O313">
        <v>432450</v>
      </c>
      <c r="P313">
        <v>60543.000000000007</v>
      </c>
      <c r="Q313">
        <v>371907</v>
      </c>
      <c r="R313">
        <v>206.65799999999999</v>
      </c>
      <c r="S313">
        <v>3844</v>
      </c>
      <c r="T313">
        <v>368063</v>
      </c>
    </row>
    <row r="314" spans="1:20" x14ac:dyDescent="0.35">
      <c r="A314" t="s">
        <v>53</v>
      </c>
      <c r="B314" t="s">
        <v>30</v>
      </c>
      <c r="C314" t="s">
        <v>55</v>
      </c>
      <c r="D314" t="s">
        <v>284</v>
      </c>
      <c r="E314" t="s">
        <v>57</v>
      </c>
      <c r="F314" t="s">
        <v>148</v>
      </c>
      <c r="G314" t="s">
        <v>157</v>
      </c>
      <c r="H314" s="1">
        <v>43887</v>
      </c>
      <c r="I314" t="s">
        <v>52</v>
      </c>
      <c r="J314" t="s">
        <v>36</v>
      </c>
      <c r="K314">
        <v>2020</v>
      </c>
      <c r="L314">
        <v>1795</v>
      </c>
      <c r="M314">
        <v>4</v>
      </c>
      <c r="N314">
        <v>450</v>
      </c>
      <c r="O314">
        <v>807750</v>
      </c>
      <c r="P314">
        <v>113085.00000000001</v>
      </c>
      <c r="Q314">
        <v>694665</v>
      </c>
      <c r="R314">
        <v>385.96800000000002</v>
      </c>
      <c r="S314">
        <v>7180</v>
      </c>
      <c r="T314">
        <v>687485</v>
      </c>
    </row>
    <row r="315" spans="1:20" x14ac:dyDescent="0.35">
      <c r="A315" t="s">
        <v>29</v>
      </c>
      <c r="B315" t="s">
        <v>54</v>
      </c>
      <c r="C315" t="s">
        <v>55</v>
      </c>
      <c r="D315" t="s">
        <v>190</v>
      </c>
      <c r="E315" t="s">
        <v>57</v>
      </c>
      <c r="F315" t="s">
        <v>191</v>
      </c>
      <c r="G315" t="s">
        <v>157</v>
      </c>
      <c r="H315" s="1">
        <v>43885</v>
      </c>
      <c r="I315" t="s">
        <v>52</v>
      </c>
      <c r="J315" t="s">
        <v>36</v>
      </c>
      <c r="K315">
        <v>2020</v>
      </c>
      <c r="L315">
        <v>1816</v>
      </c>
      <c r="M315">
        <v>4</v>
      </c>
      <c r="N315">
        <v>23</v>
      </c>
      <c r="O315">
        <v>41768</v>
      </c>
      <c r="P315">
        <v>5847.52</v>
      </c>
      <c r="Q315">
        <v>35920.479999999996</v>
      </c>
      <c r="R315">
        <v>19.517700000000001</v>
      </c>
      <c r="S315">
        <v>7264</v>
      </c>
      <c r="T315">
        <v>28656.479999999996</v>
      </c>
    </row>
    <row r="316" spans="1:20" x14ac:dyDescent="0.35">
      <c r="A316" t="s">
        <v>37</v>
      </c>
      <c r="B316" t="s">
        <v>54</v>
      </c>
      <c r="C316" t="s">
        <v>22</v>
      </c>
      <c r="D316" t="s">
        <v>96</v>
      </c>
      <c r="E316" t="s">
        <v>24</v>
      </c>
      <c r="F316" t="s">
        <v>97</v>
      </c>
      <c r="G316" t="s">
        <v>157</v>
      </c>
      <c r="H316" s="1">
        <v>43964</v>
      </c>
      <c r="I316" t="s">
        <v>77</v>
      </c>
      <c r="J316" t="s">
        <v>78</v>
      </c>
      <c r="K316">
        <v>2020</v>
      </c>
      <c r="L316">
        <v>2673</v>
      </c>
      <c r="M316">
        <v>6</v>
      </c>
      <c r="N316">
        <v>525</v>
      </c>
      <c r="O316">
        <v>1403325</v>
      </c>
      <c r="P316">
        <v>196465.50000000003</v>
      </c>
      <c r="Q316">
        <v>1206859.5</v>
      </c>
      <c r="R316">
        <v>670.47749999999996</v>
      </c>
      <c r="S316">
        <v>16038</v>
      </c>
      <c r="T316">
        <v>1190821.5</v>
      </c>
    </row>
    <row r="317" spans="1:20" x14ac:dyDescent="0.35">
      <c r="A317" t="s">
        <v>37</v>
      </c>
      <c r="B317" t="s">
        <v>65</v>
      </c>
      <c r="C317" t="s">
        <v>22</v>
      </c>
      <c r="D317" t="s">
        <v>92</v>
      </c>
      <c r="E317" t="s">
        <v>24</v>
      </c>
      <c r="F317" t="s">
        <v>93</v>
      </c>
      <c r="G317" t="s">
        <v>157</v>
      </c>
      <c r="H317" s="1">
        <v>44013</v>
      </c>
      <c r="I317" t="s">
        <v>89</v>
      </c>
      <c r="J317" t="s">
        <v>28</v>
      </c>
      <c r="K317">
        <v>2020</v>
      </c>
      <c r="L317">
        <v>1439</v>
      </c>
      <c r="M317">
        <v>6</v>
      </c>
      <c r="N317">
        <v>525</v>
      </c>
      <c r="O317">
        <v>755475</v>
      </c>
      <c r="P317">
        <v>105766.50000000001</v>
      </c>
      <c r="Q317">
        <v>649708.5</v>
      </c>
      <c r="R317">
        <v>360.899</v>
      </c>
      <c r="S317">
        <v>8634</v>
      </c>
      <c r="T317">
        <v>641074.5</v>
      </c>
    </row>
    <row r="318" spans="1:20" x14ac:dyDescent="0.35">
      <c r="A318" t="s">
        <v>37</v>
      </c>
      <c r="B318" t="s">
        <v>47</v>
      </c>
      <c r="C318" t="s">
        <v>31</v>
      </c>
      <c r="D318" t="s">
        <v>94</v>
      </c>
      <c r="E318" t="s">
        <v>33</v>
      </c>
      <c r="F318" t="s">
        <v>95</v>
      </c>
      <c r="G318" t="s">
        <v>157</v>
      </c>
      <c r="H318" s="1">
        <v>44097</v>
      </c>
      <c r="I318" t="s">
        <v>27</v>
      </c>
      <c r="J318" t="s">
        <v>28</v>
      </c>
      <c r="K318">
        <v>2020</v>
      </c>
      <c r="L318">
        <v>312</v>
      </c>
      <c r="M318">
        <v>12</v>
      </c>
      <c r="N318">
        <v>30</v>
      </c>
      <c r="O318">
        <v>9360</v>
      </c>
      <c r="P318">
        <v>1310.4000000000001</v>
      </c>
      <c r="Q318">
        <v>8049.6</v>
      </c>
      <c r="R318">
        <v>4.4720000000000004</v>
      </c>
      <c r="S318">
        <v>3744</v>
      </c>
      <c r="T318">
        <v>4305.6000000000004</v>
      </c>
    </row>
    <row r="319" spans="1:20" x14ac:dyDescent="0.35">
      <c r="A319" t="s">
        <v>37</v>
      </c>
      <c r="B319" t="s">
        <v>38</v>
      </c>
      <c r="C319" t="s">
        <v>31</v>
      </c>
      <c r="D319" t="s">
        <v>117</v>
      </c>
      <c r="E319" t="s">
        <v>33</v>
      </c>
      <c r="F319" t="s">
        <v>118</v>
      </c>
      <c r="G319" t="s">
        <v>157</v>
      </c>
      <c r="H319" s="1">
        <v>44182</v>
      </c>
      <c r="I319" t="s">
        <v>64</v>
      </c>
      <c r="J319" t="s">
        <v>61</v>
      </c>
      <c r="K319">
        <v>2020</v>
      </c>
      <c r="L319">
        <v>2077</v>
      </c>
      <c r="M319">
        <v>12</v>
      </c>
      <c r="N319">
        <v>11</v>
      </c>
      <c r="O319">
        <v>22847</v>
      </c>
      <c r="P319">
        <v>3198.5800000000004</v>
      </c>
      <c r="Q319">
        <v>19648.419999999998</v>
      </c>
      <c r="R319">
        <v>10.42062</v>
      </c>
      <c r="S319">
        <v>24924</v>
      </c>
      <c r="T319">
        <v>-5275.5800000000017</v>
      </c>
    </row>
    <row r="320" spans="1:20" x14ac:dyDescent="0.35">
      <c r="A320" t="s">
        <v>37</v>
      </c>
      <c r="B320" t="s">
        <v>38</v>
      </c>
      <c r="C320" t="s">
        <v>31</v>
      </c>
      <c r="D320" t="s">
        <v>39</v>
      </c>
      <c r="E320" t="s">
        <v>33</v>
      </c>
      <c r="F320" t="s">
        <v>40</v>
      </c>
      <c r="G320" t="s">
        <v>157</v>
      </c>
      <c r="H320" s="1">
        <v>44022</v>
      </c>
      <c r="I320" t="s">
        <v>89</v>
      </c>
      <c r="J320" t="s">
        <v>28</v>
      </c>
      <c r="K320">
        <v>2020</v>
      </c>
      <c r="L320">
        <v>840</v>
      </c>
      <c r="M320">
        <v>12</v>
      </c>
      <c r="N320">
        <v>525</v>
      </c>
      <c r="O320">
        <v>441000</v>
      </c>
      <c r="P320">
        <v>61740.000000000007</v>
      </c>
      <c r="Q320">
        <v>379260</v>
      </c>
      <c r="R320">
        <v>210.7</v>
      </c>
      <c r="S320">
        <v>10080</v>
      </c>
      <c r="T320">
        <v>369180</v>
      </c>
    </row>
    <row r="321" spans="1:20" x14ac:dyDescent="0.35">
      <c r="A321" t="s">
        <v>37</v>
      </c>
      <c r="B321" t="s">
        <v>54</v>
      </c>
      <c r="C321" t="s">
        <v>31</v>
      </c>
      <c r="D321" t="s">
        <v>183</v>
      </c>
      <c r="E321" t="s">
        <v>33</v>
      </c>
      <c r="F321" t="s">
        <v>184</v>
      </c>
      <c r="G321" t="s">
        <v>157</v>
      </c>
      <c r="H321" s="1">
        <v>44178</v>
      </c>
      <c r="I321" t="s">
        <v>64</v>
      </c>
      <c r="J321" t="s">
        <v>61</v>
      </c>
      <c r="K321">
        <v>2020</v>
      </c>
      <c r="L321">
        <v>1412</v>
      </c>
      <c r="M321">
        <v>12</v>
      </c>
      <c r="N321">
        <v>525</v>
      </c>
      <c r="O321">
        <v>741300</v>
      </c>
      <c r="P321">
        <v>103782.00000000001</v>
      </c>
      <c r="Q321">
        <v>637518</v>
      </c>
      <c r="R321">
        <v>354.27699999999999</v>
      </c>
      <c r="S321">
        <v>16944</v>
      </c>
      <c r="T321">
        <v>620574</v>
      </c>
    </row>
    <row r="322" spans="1:20" x14ac:dyDescent="0.35">
      <c r="A322" t="s">
        <v>53</v>
      </c>
      <c r="B322" t="s">
        <v>84</v>
      </c>
      <c r="C322" t="s">
        <v>43</v>
      </c>
      <c r="D322" t="s">
        <v>256</v>
      </c>
      <c r="E322" t="s">
        <v>45</v>
      </c>
      <c r="F322" t="s">
        <v>114</v>
      </c>
      <c r="G322" t="s">
        <v>157</v>
      </c>
      <c r="H322" s="1">
        <v>43850</v>
      </c>
      <c r="I322" t="s">
        <v>35</v>
      </c>
      <c r="J322" t="s">
        <v>36</v>
      </c>
      <c r="K322">
        <v>2020</v>
      </c>
      <c r="L322">
        <v>2952</v>
      </c>
      <c r="M322">
        <v>148</v>
      </c>
      <c r="N322">
        <v>450</v>
      </c>
      <c r="O322">
        <v>1328400</v>
      </c>
      <c r="P322">
        <v>185976.00000000003</v>
      </c>
      <c r="Q322">
        <v>1142424</v>
      </c>
      <c r="R322">
        <v>634.67999999999995</v>
      </c>
      <c r="S322">
        <v>436896</v>
      </c>
      <c r="T322">
        <v>705528</v>
      </c>
    </row>
    <row r="323" spans="1:20" x14ac:dyDescent="0.35">
      <c r="A323" t="s">
        <v>53</v>
      </c>
      <c r="B323" t="s">
        <v>54</v>
      </c>
      <c r="C323" t="s">
        <v>48</v>
      </c>
      <c r="D323" t="s">
        <v>267</v>
      </c>
      <c r="E323" t="s">
        <v>50</v>
      </c>
      <c r="F323" t="s">
        <v>215</v>
      </c>
      <c r="G323" t="s">
        <v>157</v>
      </c>
      <c r="H323" s="1">
        <v>44021</v>
      </c>
      <c r="I323" t="s">
        <v>89</v>
      </c>
      <c r="J323" t="s">
        <v>28</v>
      </c>
      <c r="K323">
        <v>2020</v>
      </c>
      <c r="L323">
        <v>3049</v>
      </c>
      <c r="M323">
        <v>308</v>
      </c>
      <c r="N323">
        <v>450</v>
      </c>
      <c r="O323">
        <v>1372050</v>
      </c>
      <c r="P323">
        <v>192087.00000000003</v>
      </c>
      <c r="Q323">
        <v>1179963</v>
      </c>
      <c r="R323">
        <v>655.57799999999997</v>
      </c>
      <c r="S323">
        <v>939092</v>
      </c>
      <c r="T323">
        <v>240871</v>
      </c>
    </row>
    <row r="324" spans="1:20" x14ac:dyDescent="0.35">
      <c r="A324" t="s">
        <v>53</v>
      </c>
      <c r="B324" t="s">
        <v>47</v>
      </c>
      <c r="C324" t="s">
        <v>102</v>
      </c>
      <c r="D324" t="s">
        <v>285</v>
      </c>
      <c r="E324" t="s">
        <v>104</v>
      </c>
      <c r="F324" t="s">
        <v>182</v>
      </c>
      <c r="G324" t="s">
        <v>157</v>
      </c>
      <c r="H324" s="1">
        <v>44141</v>
      </c>
      <c r="I324" t="s">
        <v>60</v>
      </c>
      <c r="J324" t="s">
        <v>61</v>
      </c>
      <c r="K324">
        <v>2020</v>
      </c>
      <c r="L324">
        <v>1066</v>
      </c>
      <c r="M324">
        <v>320</v>
      </c>
      <c r="N324">
        <v>450</v>
      </c>
      <c r="O324">
        <v>479700</v>
      </c>
      <c r="P324">
        <v>67158</v>
      </c>
      <c r="Q324">
        <v>412542</v>
      </c>
      <c r="R324">
        <v>229.10400000000001</v>
      </c>
      <c r="S324">
        <v>341120</v>
      </c>
      <c r="T324">
        <v>71422</v>
      </c>
    </row>
    <row r="325" spans="1:20" x14ac:dyDescent="0.35">
      <c r="A325" t="s">
        <v>20</v>
      </c>
      <c r="B325" t="s">
        <v>38</v>
      </c>
      <c r="C325" t="s">
        <v>102</v>
      </c>
      <c r="D325" t="s">
        <v>286</v>
      </c>
      <c r="E325" t="s">
        <v>104</v>
      </c>
      <c r="F325" t="s">
        <v>260</v>
      </c>
      <c r="G325" t="s">
        <v>157</v>
      </c>
      <c r="H325" s="1">
        <v>44093</v>
      </c>
      <c r="I325" t="s">
        <v>27</v>
      </c>
      <c r="J325" t="s">
        <v>28</v>
      </c>
      <c r="K325">
        <v>2020</v>
      </c>
      <c r="L325">
        <v>3413</v>
      </c>
      <c r="M325">
        <v>320</v>
      </c>
      <c r="N325">
        <v>188</v>
      </c>
      <c r="O325">
        <v>641644</v>
      </c>
      <c r="P325">
        <v>89830.16</v>
      </c>
      <c r="Q325">
        <v>551813.84</v>
      </c>
      <c r="R325">
        <v>305.73</v>
      </c>
      <c r="S325">
        <v>1092160</v>
      </c>
      <c r="T325">
        <v>-540346.16</v>
      </c>
    </row>
    <row r="326" spans="1:20" x14ac:dyDescent="0.35">
      <c r="A326" t="s">
        <v>79</v>
      </c>
      <c r="B326" t="s">
        <v>54</v>
      </c>
      <c r="C326" t="s">
        <v>102</v>
      </c>
      <c r="D326" t="s">
        <v>155</v>
      </c>
      <c r="E326" t="s">
        <v>104</v>
      </c>
      <c r="F326" t="s">
        <v>156</v>
      </c>
      <c r="G326" t="s">
        <v>157</v>
      </c>
      <c r="H326" s="1">
        <v>43992</v>
      </c>
      <c r="I326" t="s">
        <v>144</v>
      </c>
      <c r="J326" t="s">
        <v>78</v>
      </c>
      <c r="K326">
        <v>2020</v>
      </c>
      <c r="L326">
        <v>2970</v>
      </c>
      <c r="M326">
        <v>320</v>
      </c>
      <c r="N326">
        <v>18</v>
      </c>
      <c r="O326">
        <v>53460</v>
      </c>
      <c r="P326">
        <v>7484.4000000000005</v>
      </c>
      <c r="Q326">
        <v>45975.6</v>
      </c>
      <c r="R326">
        <v>25.542000000000002</v>
      </c>
      <c r="S326">
        <v>950400</v>
      </c>
      <c r="T326">
        <v>-904424.4</v>
      </c>
    </row>
    <row r="327" spans="1:20" x14ac:dyDescent="0.35">
      <c r="A327" t="s">
        <v>37</v>
      </c>
      <c r="B327" t="s">
        <v>21</v>
      </c>
      <c r="C327" t="s">
        <v>102</v>
      </c>
      <c r="D327" t="s">
        <v>137</v>
      </c>
      <c r="E327" t="s">
        <v>104</v>
      </c>
      <c r="F327" t="s">
        <v>138</v>
      </c>
      <c r="G327" t="s">
        <v>157</v>
      </c>
      <c r="H327" s="1">
        <v>43939</v>
      </c>
      <c r="I327" t="s">
        <v>112</v>
      </c>
      <c r="J327" t="s">
        <v>78</v>
      </c>
      <c r="K327">
        <v>2020</v>
      </c>
      <c r="L327">
        <v>2077</v>
      </c>
      <c r="M327">
        <v>320</v>
      </c>
      <c r="N327">
        <v>11</v>
      </c>
      <c r="O327">
        <v>22847</v>
      </c>
      <c r="P327">
        <v>3198.5800000000004</v>
      </c>
      <c r="Q327">
        <v>19648.419999999998</v>
      </c>
      <c r="R327">
        <v>10.42062</v>
      </c>
      <c r="S327">
        <v>664640</v>
      </c>
      <c r="T327">
        <v>-644991.57999999996</v>
      </c>
    </row>
    <row r="328" spans="1:20" x14ac:dyDescent="0.35">
      <c r="A328" t="s">
        <v>37</v>
      </c>
      <c r="B328" t="s">
        <v>47</v>
      </c>
      <c r="C328" t="s">
        <v>31</v>
      </c>
      <c r="D328" t="s">
        <v>94</v>
      </c>
      <c r="E328" t="s">
        <v>33</v>
      </c>
      <c r="F328" t="s">
        <v>95</v>
      </c>
      <c r="G328" t="s">
        <v>157</v>
      </c>
      <c r="H328" s="1">
        <v>43903</v>
      </c>
      <c r="I328" t="s">
        <v>109</v>
      </c>
      <c r="J328" t="s">
        <v>36</v>
      </c>
      <c r="K328">
        <v>2020</v>
      </c>
      <c r="L328">
        <v>3421</v>
      </c>
      <c r="M328">
        <v>12</v>
      </c>
      <c r="N328">
        <v>525</v>
      </c>
      <c r="O328">
        <v>1796025</v>
      </c>
      <c r="P328">
        <v>269403.75</v>
      </c>
      <c r="Q328">
        <v>1526621.25</v>
      </c>
      <c r="R328">
        <v>848.17250000000001</v>
      </c>
      <c r="S328">
        <v>41052</v>
      </c>
      <c r="T328">
        <v>1485569.25</v>
      </c>
    </row>
    <row r="329" spans="1:20" x14ac:dyDescent="0.35">
      <c r="A329" t="s">
        <v>20</v>
      </c>
      <c r="B329" t="s">
        <v>42</v>
      </c>
      <c r="C329" t="s">
        <v>31</v>
      </c>
      <c r="D329" t="s">
        <v>73</v>
      </c>
      <c r="E329" t="s">
        <v>33</v>
      </c>
      <c r="F329" t="s">
        <v>74</v>
      </c>
      <c r="G329" t="s">
        <v>157</v>
      </c>
      <c r="H329" s="1">
        <v>44195</v>
      </c>
      <c r="I329" t="s">
        <v>64</v>
      </c>
      <c r="J329" t="s">
        <v>61</v>
      </c>
      <c r="K329">
        <v>2020</v>
      </c>
      <c r="L329">
        <v>1302</v>
      </c>
      <c r="M329">
        <v>12</v>
      </c>
      <c r="N329">
        <v>188</v>
      </c>
      <c r="O329">
        <v>244776</v>
      </c>
      <c r="P329">
        <v>36716.400000000001</v>
      </c>
      <c r="Q329">
        <v>208059.6</v>
      </c>
      <c r="R329">
        <v>115.28125</v>
      </c>
      <c r="S329">
        <v>15624</v>
      </c>
      <c r="T329">
        <v>192435.6</v>
      </c>
    </row>
    <row r="330" spans="1:20" x14ac:dyDescent="0.35">
      <c r="A330" t="s">
        <v>29</v>
      </c>
      <c r="B330" t="s">
        <v>84</v>
      </c>
      <c r="C330" t="s">
        <v>31</v>
      </c>
      <c r="D330" t="s">
        <v>210</v>
      </c>
      <c r="E330" t="s">
        <v>33</v>
      </c>
      <c r="F330" t="s">
        <v>211</v>
      </c>
      <c r="G330" t="s">
        <v>157</v>
      </c>
      <c r="H330" s="1">
        <v>44028</v>
      </c>
      <c r="I330" t="s">
        <v>89</v>
      </c>
      <c r="J330" t="s">
        <v>28</v>
      </c>
      <c r="K330">
        <v>2020</v>
      </c>
      <c r="L330">
        <v>1410</v>
      </c>
      <c r="M330">
        <v>12</v>
      </c>
      <c r="N330">
        <v>23</v>
      </c>
      <c r="O330">
        <v>32430</v>
      </c>
      <c r="P330">
        <v>4864.5</v>
      </c>
      <c r="Q330">
        <v>27565.5</v>
      </c>
      <c r="R330">
        <v>14.981249999999999</v>
      </c>
      <c r="S330">
        <v>16920</v>
      </c>
      <c r="T330">
        <v>10645.5</v>
      </c>
    </row>
    <row r="331" spans="1:20" x14ac:dyDescent="0.35">
      <c r="A331" t="s">
        <v>79</v>
      </c>
      <c r="B331" t="s">
        <v>65</v>
      </c>
      <c r="C331" t="s">
        <v>31</v>
      </c>
      <c r="D331" t="s">
        <v>218</v>
      </c>
      <c r="E331" t="s">
        <v>33</v>
      </c>
      <c r="F331" t="s">
        <v>219</v>
      </c>
      <c r="G331" t="s">
        <v>157</v>
      </c>
      <c r="H331" s="1">
        <v>44151</v>
      </c>
      <c r="I331" t="s">
        <v>60</v>
      </c>
      <c r="J331" t="s">
        <v>61</v>
      </c>
      <c r="K331">
        <v>2020</v>
      </c>
      <c r="L331">
        <v>1097</v>
      </c>
      <c r="M331">
        <v>12</v>
      </c>
      <c r="N331">
        <v>18</v>
      </c>
      <c r="O331">
        <v>19746</v>
      </c>
      <c r="P331">
        <v>2961.9</v>
      </c>
      <c r="Q331">
        <v>16784.099999999999</v>
      </c>
      <c r="R331">
        <v>9.3227999999999991</v>
      </c>
      <c r="S331">
        <v>13164</v>
      </c>
      <c r="T331">
        <v>3620.0999999999985</v>
      </c>
    </row>
    <row r="332" spans="1:20" x14ac:dyDescent="0.35">
      <c r="A332" t="s">
        <v>37</v>
      </c>
      <c r="B332" t="s">
        <v>38</v>
      </c>
      <c r="C332" t="s">
        <v>31</v>
      </c>
      <c r="D332" t="s">
        <v>117</v>
      </c>
      <c r="E332" t="s">
        <v>33</v>
      </c>
      <c r="F332" t="s">
        <v>118</v>
      </c>
      <c r="G332" t="s">
        <v>157</v>
      </c>
      <c r="H332" s="1">
        <v>44119</v>
      </c>
      <c r="I332" t="s">
        <v>72</v>
      </c>
      <c r="J332" t="s">
        <v>61</v>
      </c>
      <c r="K332">
        <v>2020</v>
      </c>
      <c r="L332">
        <v>352</v>
      </c>
      <c r="M332">
        <v>12</v>
      </c>
      <c r="N332">
        <v>30</v>
      </c>
      <c r="O332">
        <v>10560</v>
      </c>
      <c r="P332">
        <v>1584</v>
      </c>
      <c r="Q332">
        <v>8976</v>
      </c>
      <c r="R332">
        <v>4.9809999999999999</v>
      </c>
      <c r="S332">
        <v>4224</v>
      </c>
      <c r="T332">
        <v>4752</v>
      </c>
    </row>
    <row r="333" spans="1:20" x14ac:dyDescent="0.35">
      <c r="A333" t="s">
        <v>20</v>
      </c>
      <c r="B333" t="s">
        <v>65</v>
      </c>
      <c r="C333" t="s">
        <v>43</v>
      </c>
      <c r="D333" t="s">
        <v>119</v>
      </c>
      <c r="E333" t="s">
        <v>45</v>
      </c>
      <c r="F333" t="s">
        <v>120</v>
      </c>
      <c r="G333" t="s">
        <v>157</v>
      </c>
      <c r="H333" s="1">
        <v>43940</v>
      </c>
      <c r="I333" t="s">
        <v>112</v>
      </c>
      <c r="J333" t="s">
        <v>78</v>
      </c>
      <c r="K333">
        <v>2020</v>
      </c>
      <c r="L333">
        <v>796</v>
      </c>
      <c r="M333">
        <v>148</v>
      </c>
      <c r="N333">
        <v>188</v>
      </c>
      <c r="O333">
        <v>149648</v>
      </c>
      <c r="P333">
        <v>22447.200000000001</v>
      </c>
      <c r="Q333">
        <v>127200.8</v>
      </c>
      <c r="R333">
        <v>70.443749999999994</v>
      </c>
      <c r="S333">
        <v>117808</v>
      </c>
      <c r="T333">
        <v>9392.8000000000029</v>
      </c>
    </row>
    <row r="334" spans="1:20" x14ac:dyDescent="0.35">
      <c r="A334" t="s">
        <v>29</v>
      </c>
      <c r="B334" t="s">
        <v>42</v>
      </c>
      <c r="C334" t="s">
        <v>48</v>
      </c>
      <c r="D334" t="s">
        <v>203</v>
      </c>
      <c r="E334" t="s">
        <v>50</v>
      </c>
      <c r="F334" t="s">
        <v>188</v>
      </c>
      <c r="G334" t="s">
        <v>157</v>
      </c>
      <c r="H334" s="1">
        <v>44119</v>
      </c>
      <c r="I334" t="s">
        <v>72</v>
      </c>
      <c r="J334" t="s">
        <v>61</v>
      </c>
      <c r="K334">
        <v>2020</v>
      </c>
      <c r="L334">
        <v>590</v>
      </c>
      <c r="M334">
        <v>308</v>
      </c>
      <c r="N334">
        <v>23</v>
      </c>
      <c r="O334">
        <v>13570</v>
      </c>
      <c r="P334">
        <v>2035.5</v>
      </c>
      <c r="Q334">
        <v>11534.5</v>
      </c>
      <c r="R334">
        <v>6.2729999999999997</v>
      </c>
      <c r="S334">
        <v>181720</v>
      </c>
      <c r="T334">
        <v>-170185.5</v>
      </c>
    </row>
    <row r="335" spans="1:20" x14ac:dyDescent="0.35">
      <c r="A335" t="s">
        <v>37</v>
      </c>
      <c r="B335" t="s">
        <v>47</v>
      </c>
      <c r="C335" t="s">
        <v>48</v>
      </c>
      <c r="D335" t="s">
        <v>49</v>
      </c>
      <c r="E335" t="s">
        <v>50</v>
      </c>
      <c r="F335" t="s">
        <v>51</v>
      </c>
      <c r="G335" t="s">
        <v>157</v>
      </c>
      <c r="H335" s="1">
        <v>44175</v>
      </c>
      <c r="I335" t="s">
        <v>64</v>
      </c>
      <c r="J335" t="s">
        <v>61</v>
      </c>
      <c r="K335">
        <v>2020</v>
      </c>
      <c r="L335">
        <v>352</v>
      </c>
      <c r="M335">
        <v>308</v>
      </c>
      <c r="N335">
        <v>30</v>
      </c>
      <c r="O335">
        <v>10560</v>
      </c>
      <c r="P335">
        <v>1584</v>
      </c>
      <c r="Q335">
        <v>8976</v>
      </c>
      <c r="R335">
        <v>4.9809999999999999</v>
      </c>
      <c r="S335">
        <v>108416</v>
      </c>
      <c r="T335">
        <v>-99440</v>
      </c>
    </row>
    <row r="336" spans="1:20" x14ac:dyDescent="0.35">
      <c r="A336" t="s">
        <v>53</v>
      </c>
      <c r="B336" t="s">
        <v>65</v>
      </c>
      <c r="C336" t="s">
        <v>102</v>
      </c>
      <c r="D336" t="s">
        <v>287</v>
      </c>
      <c r="E336" t="s">
        <v>104</v>
      </c>
      <c r="F336" t="s">
        <v>120</v>
      </c>
      <c r="G336" t="s">
        <v>157</v>
      </c>
      <c r="H336" s="1">
        <v>43918</v>
      </c>
      <c r="I336" t="s">
        <v>109</v>
      </c>
      <c r="J336" t="s">
        <v>36</v>
      </c>
      <c r="K336">
        <v>2020</v>
      </c>
      <c r="L336">
        <v>2970</v>
      </c>
      <c r="M336">
        <v>320</v>
      </c>
      <c r="N336">
        <v>450</v>
      </c>
      <c r="O336">
        <v>1336500</v>
      </c>
      <c r="P336">
        <v>200475</v>
      </c>
      <c r="Q336">
        <v>1136025</v>
      </c>
      <c r="R336">
        <v>631.125</v>
      </c>
      <c r="S336">
        <v>950400</v>
      </c>
      <c r="T336">
        <v>185625</v>
      </c>
    </row>
    <row r="337" spans="1:20" x14ac:dyDescent="0.35">
      <c r="A337" t="s">
        <v>53</v>
      </c>
      <c r="B337" t="s">
        <v>42</v>
      </c>
      <c r="C337" t="s">
        <v>102</v>
      </c>
      <c r="D337" t="s">
        <v>288</v>
      </c>
      <c r="E337" t="s">
        <v>104</v>
      </c>
      <c r="F337" t="s">
        <v>180</v>
      </c>
      <c r="G337" t="s">
        <v>157</v>
      </c>
      <c r="H337" s="1">
        <v>44181</v>
      </c>
      <c r="I337" t="s">
        <v>64</v>
      </c>
      <c r="J337" t="s">
        <v>61</v>
      </c>
      <c r="K337">
        <v>2020</v>
      </c>
      <c r="L337">
        <v>655</v>
      </c>
      <c r="M337">
        <v>320</v>
      </c>
      <c r="N337">
        <v>450</v>
      </c>
      <c r="O337">
        <v>294750</v>
      </c>
      <c r="P337">
        <v>44212.5</v>
      </c>
      <c r="Q337">
        <v>250537.5</v>
      </c>
      <c r="R337">
        <v>139.22999999999999</v>
      </c>
      <c r="S337">
        <v>209600</v>
      </c>
      <c r="T337">
        <v>40937.5</v>
      </c>
    </row>
    <row r="338" spans="1:20" x14ac:dyDescent="0.35">
      <c r="A338" t="s">
        <v>79</v>
      </c>
      <c r="B338" t="s">
        <v>54</v>
      </c>
      <c r="C338" t="s">
        <v>48</v>
      </c>
      <c r="D338" t="s">
        <v>266</v>
      </c>
      <c r="E338" t="s">
        <v>50</v>
      </c>
      <c r="F338" t="s">
        <v>215</v>
      </c>
      <c r="G338" t="s">
        <v>157</v>
      </c>
      <c r="H338" s="1">
        <v>43909</v>
      </c>
      <c r="I338" t="s">
        <v>109</v>
      </c>
      <c r="J338" t="s">
        <v>36</v>
      </c>
      <c r="K338">
        <v>2020</v>
      </c>
      <c r="L338">
        <v>2167</v>
      </c>
      <c r="M338">
        <v>308</v>
      </c>
      <c r="N338">
        <v>18</v>
      </c>
      <c r="O338">
        <v>39006</v>
      </c>
      <c r="P338">
        <v>5850.9000000000005</v>
      </c>
      <c r="Q338">
        <v>33155.1</v>
      </c>
      <c r="R338">
        <v>18.421200000000002</v>
      </c>
      <c r="S338">
        <v>667436</v>
      </c>
      <c r="T338">
        <v>-634280.9</v>
      </c>
    </row>
    <row r="339" spans="1:20" x14ac:dyDescent="0.35">
      <c r="A339" t="s">
        <v>53</v>
      </c>
      <c r="B339" t="s">
        <v>54</v>
      </c>
      <c r="C339" t="s">
        <v>31</v>
      </c>
      <c r="D339" t="s">
        <v>241</v>
      </c>
      <c r="E339" t="s">
        <v>33</v>
      </c>
      <c r="F339" t="s">
        <v>242</v>
      </c>
      <c r="G339" t="s">
        <v>26</v>
      </c>
      <c r="H339" s="1">
        <v>44223</v>
      </c>
      <c r="I339" t="s">
        <v>35</v>
      </c>
      <c r="J339" t="s">
        <v>36</v>
      </c>
      <c r="K339">
        <v>2021</v>
      </c>
      <c r="L339">
        <v>946</v>
      </c>
      <c r="M339">
        <v>12</v>
      </c>
      <c r="N339">
        <v>450</v>
      </c>
      <c r="O339">
        <v>425700</v>
      </c>
      <c r="P339">
        <v>0</v>
      </c>
      <c r="Q339">
        <v>425700</v>
      </c>
      <c r="R339">
        <v>236.4</v>
      </c>
      <c r="S339">
        <v>11352</v>
      </c>
      <c r="T339">
        <v>414348</v>
      </c>
    </row>
    <row r="340" spans="1:20" x14ac:dyDescent="0.35">
      <c r="A340" t="s">
        <v>79</v>
      </c>
      <c r="B340" t="s">
        <v>65</v>
      </c>
      <c r="C340" t="s">
        <v>31</v>
      </c>
      <c r="D340" t="s">
        <v>218</v>
      </c>
      <c r="E340" t="s">
        <v>33</v>
      </c>
      <c r="F340" t="s">
        <v>219</v>
      </c>
      <c r="G340" t="s">
        <v>26</v>
      </c>
      <c r="H340" s="1">
        <v>44385</v>
      </c>
      <c r="I340" t="s">
        <v>89</v>
      </c>
      <c r="J340" t="s">
        <v>28</v>
      </c>
      <c r="K340">
        <v>2021</v>
      </c>
      <c r="L340">
        <v>1094</v>
      </c>
      <c r="M340">
        <v>12</v>
      </c>
      <c r="N340">
        <v>18</v>
      </c>
      <c r="O340">
        <v>19692</v>
      </c>
      <c r="P340">
        <v>0</v>
      </c>
      <c r="Q340">
        <v>19692</v>
      </c>
      <c r="R340">
        <v>10.944000000000001</v>
      </c>
      <c r="S340">
        <v>13128</v>
      </c>
      <c r="T340">
        <v>6564</v>
      </c>
    </row>
    <row r="341" spans="1:20" x14ac:dyDescent="0.35">
      <c r="A341" t="s">
        <v>29</v>
      </c>
      <c r="B341" t="s">
        <v>84</v>
      </c>
      <c r="C341" t="s">
        <v>31</v>
      </c>
      <c r="D341" t="s">
        <v>177</v>
      </c>
      <c r="E341" t="s">
        <v>33</v>
      </c>
      <c r="F341" t="s">
        <v>178</v>
      </c>
      <c r="G341" t="s">
        <v>26</v>
      </c>
      <c r="H341" s="1">
        <v>44467</v>
      </c>
      <c r="I341" t="s">
        <v>27</v>
      </c>
      <c r="J341" t="s">
        <v>28</v>
      </c>
      <c r="K341">
        <v>2021</v>
      </c>
      <c r="L341">
        <v>2582</v>
      </c>
      <c r="M341">
        <v>12</v>
      </c>
      <c r="N341">
        <v>23</v>
      </c>
      <c r="O341">
        <v>59386</v>
      </c>
      <c r="P341">
        <v>0</v>
      </c>
      <c r="Q341">
        <v>59386</v>
      </c>
      <c r="R341">
        <v>32.28</v>
      </c>
      <c r="S341">
        <v>30984</v>
      </c>
      <c r="T341">
        <v>28402</v>
      </c>
    </row>
    <row r="342" spans="1:20" x14ac:dyDescent="0.35">
      <c r="A342" t="s">
        <v>20</v>
      </c>
      <c r="B342" t="s">
        <v>21</v>
      </c>
      <c r="C342" t="s">
        <v>55</v>
      </c>
      <c r="D342" t="s">
        <v>268</v>
      </c>
      <c r="E342" t="s">
        <v>57</v>
      </c>
      <c r="F342" t="s">
        <v>269</v>
      </c>
      <c r="G342" t="s">
        <v>59</v>
      </c>
      <c r="H342" s="1">
        <v>44208</v>
      </c>
      <c r="I342" t="s">
        <v>35</v>
      </c>
      <c r="J342" t="s">
        <v>36</v>
      </c>
      <c r="K342">
        <v>2021</v>
      </c>
      <c r="L342">
        <v>396</v>
      </c>
      <c r="M342">
        <v>4</v>
      </c>
      <c r="N342">
        <v>188</v>
      </c>
      <c r="O342">
        <v>74448</v>
      </c>
      <c r="P342">
        <v>744.48</v>
      </c>
      <c r="Q342">
        <v>73703.520000000004</v>
      </c>
      <c r="R342">
        <v>40.837499999999999</v>
      </c>
      <c r="S342">
        <v>1584</v>
      </c>
      <c r="T342">
        <v>72119.520000000004</v>
      </c>
    </row>
    <row r="343" spans="1:20" x14ac:dyDescent="0.35">
      <c r="A343" t="s">
        <v>79</v>
      </c>
      <c r="B343" t="s">
        <v>30</v>
      </c>
      <c r="C343" t="s">
        <v>55</v>
      </c>
      <c r="D343" t="s">
        <v>237</v>
      </c>
      <c r="E343" t="s">
        <v>57</v>
      </c>
      <c r="F343" t="s">
        <v>238</v>
      </c>
      <c r="G343" t="s">
        <v>59</v>
      </c>
      <c r="H343" s="1">
        <v>44292</v>
      </c>
      <c r="I343" t="s">
        <v>112</v>
      </c>
      <c r="J343" t="s">
        <v>78</v>
      </c>
      <c r="K343">
        <v>2021</v>
      </c>
      <c r="L343">
        <v>919</v>
      </c>
      <c r="M343">
        <v>4</v>
      </c>
      <c r="N343">
        <v>18</v>
      </c>
      <c r="O343">
        <v>16542</v>
      </c>
      <c r="P343">
        <v>165.42000000000002</v>
      </c>
      <c r="Q343">
        <v>16376.58</v>
      </c>
      <c r="R343">
        <v>9.1000800000000002</v>
      </c>
      <c r="S343">
        <v>3676</v>
      </c>
      <c r="T343">
        <v>12700.58</v>
      </c>
    </row>
    <row r="344" spans="1:20" x14ac:dyDescent="0.35">
      <c r="A344" t="s">
        <v>79</v>
      </c>
      <c r="B344" t="s">
        <v>84</v>
      </c>
      <c r="C344" t="s">
        <v>31</v>
      </c>
      <c r="D344" t="s">
        <v>197</v>
      </c>
      <c r="E344" t="s">
        <v>33</v>
      </c>
      <c r="F344" t="s">
        <v>198</v>
      </c>
      <c r="G344" t="s">
        <v>59</v>
      </c>
      <c r="H344" s="1">
        <v>44387</v>
      </c>
      <c r="I344" t="s">
        <v>89</v>
      </c>
      <c r="J344" t="s">
        <v>28</v>
      </c>
      <c r="K344">
        <v>2021</v>
      </c>
      <c r="L344">
        <v>919</v>
      </c>
      <c r="M344">
        <v>12</v>
      </c>
      <c r="N344">
        <v>18</v>
      </c>
      <c r="O344">
        <v>16542</v>
      </c>
      <c r="P344">
        <v>165.42000000000002</v>
      </c>
      <c r="Q344">
        <v>16376.58</v>
      </c>
      <c r="R344">
        <v>9.1000800000000002</v>
      </c>
      <c r="S344">
        <v>11028</v>
      </c>
      <c r="T344">
        <v>5348.58</v>
      </c>
    </row>
    <row r="345" spans="1:20" x14ac:dyDescent="0.35">
      <c r="A345" t="s">
        <v>20</v>
      </c>
      <c r="B345" t="s">
        <v>42</v>
      </c>
      <c r="C345" t="s">
        <v>43</v>
      </c>
      <c r="D345" t="s">
        <v>185</v>
      </c>
      <c r="E345" t="s">
        <v>45</v>
      </c>
      <c r="F345" t="s">
        <v>186</v>
      </c>
      <c r="G345" t="s">
        <v>59</v>
      </c>
      <c r="H345" s="1">
        <v>44284</v>
      </c>
      <c r="I345" t="s">
        <v>109</v>
      </c>
      <c r="J345" t="s">
        <v>36</v>
      </c>
      <c r="K345">
        <v>2021</v>
      </c>
      <c r="L345">
        <v>796</v>
      </c>
      <c r="M345">
        <v>148</v>
      </c>
      <c r="N345">
        <v>188</v>
      </c>
      <c r="O345">
        <v>149648</v>
      </c>
      <c r="P345">
        <v>1496.48</v>
      </c>
      <c r="Q345">
        <v>148151.51999999999</v>
      </c>
      <c r="R345">
        <v>82.046250000000001</v>
      </c>
      <c r="S345">
        <v>117808</v>
      </c>
      <c r="T345">
        <v>30343.51999999999</v>
      </c>
    </row>
    <row r="346" spans="1:20" x14ac:dyDescent="0.35">
      <c r="A346" t="s">
        <v>53</v>
      </c>
      <c r="B346" t="s">
        <v>21</v>
      </c>
      <c r="C346" t="s">
        <v>48</v>
      </c>
      <c r="D346" t="s">
        <v>257</v>
      </c>
      <c r="E346" t="s">
        <v>50</v>
      </c>
      <c r="F346" t="s">
        <v>258</v>
      </c>
      <c r="G346" t="s">
        <v>59</v>
      </c>
      <c r="H346" s="1">
        <v>44408</v>
      </c>
      <c r="I346" t="s">
        <v>89</v>
      </c>
      <c r="J346" t="s">
        <v>28</v>
      </c>
      <c r="K346">
        <v>2021</v>
      </c>
      <c r="L346">
        <v>593</v>
      </c>
      <c r="M346">
        <v>308</v>
      </c>
      <c r="N346">
        <v>450</v>
      </c>
      <c r="O346">
        <v>266850</v>
      </c>
      <c r="P346">
        <v>2668.5</v>
      </c>
      <c r="Q346">
        <v>264181.5</v>
      </c>
      <c r="R346">
        <v>146.71799999999999</v>
      </c>
      <c r="S346">
        <v>182644</v>
      </c>
      <c r="T346">
        <v>81537.5</v>
      </c>
    </row>
    <row r="347" spans="1:20" x14ac:dyDescent="0.35">
      <c r="A347" t="s">
        <v>79</v>
      </c>
      <c r="B347" t="s">
        <v>30</v>
      </c>
      <c r="C347" t="s">
        <v>102</v>
      </c>
      <c r="D347" t="s">
        <v>204</v>
      </c>
      <c r="E347" t="s">
        <v>104</v>
      </c>
      <c r="F347" t="s">
        <v>205</v>
      </c>
      <c r="G347" t="s">
        <v>59</v>
      </c>
      <c r="H347" s="1">
        <v>44284</v>
      </c>
      <c r="I347" t="s">
        <v>109</v>
      </c>
      <c r="J347" t="s">
        <v>36</v>
      </c>
      <c r="K347">
        <v>2021</v>
      </c>
      <c r="L347">
        <v>2387</v>
      </c>
      <c r="M347">
        <v>320</v>
      </c>
      <c r="N347">
        <v>18</v>
      </c>
      <c r="O347">
        <v>42966</v>
      </c>
      <c r="P347">
        <v>429.66</v>
      </c>
      <c r="Q347">
        <v>42536.34</v>
      </c>
      <c r="R347">
        <v>23.62932</v>
      </c>
      <c r="S347">
        <v>763840</v>
      </c>
      <c r="T347">
        <v>-721303.66</v>
      </c>
    </row>
    <row r="348" spans="1:20" x14ac:dyDescent="0.35">
      <c r="A348" t="s">
        <v>29</v>
      </c>
      <c r="B348" t="s">
        <v>54</v>
      </c>
      <c r="C348" t="s">
        <v>102</v>
      </c>
      <c r="D348" t="s">
        <v>273</v>
      </c>
      <c r="E348" t="s">
        <v>104</v>
      </c>
      <c r="F348" t="s">
        <v>274</v>
      </c>
      <c r="G348" t="s">
        <v>59</v>
      </c>
      <c r="H348" s="1">
        <v>44404</v>
      </c>
      <c r="I348" t="s">
        <v>89</v>
      </c>
      <c r="J348" t="s">
        <v>28</v>
      </c>
      <c r="K348">
        <v>2021</v>
      </c>
      <c r="L348">
        <v>385</v>
      </c>
      <c r="M348">
        <v>320</v>
      </c>
      <c r="N348">
        <v>23</v>
      </c>
      <c r="O348">
        <v>8855</v>
      </c>
      <c r="P348">
        <v>88.55</v>
      </c>
      <c r="Q348">
        <v>8766.4500000000007</v>
      </c>
      <c r="R348">
        <v>4.7668500000000007</v>
      </c>
      <c r="S348">
        <v>123200</v>
      </c>
      <c r="T348">
        <v>-114433.55</v>
      </c>
    </row>
    <row r="349" spans="1:20" x14ac:dyDescent="0.35">
      <c r="A349" t="s">
        <v>37</v>
      </c>
      <c r="B349" t="s">
        <v>38</v>
      </c>
      <c r="C349" t="s">
        <v>43</v>
      </c>
      <c r="D349" t="s">
        <v>262</v>
      </c>
      <c r="E349" t="s">
        <v>45</v>
      </c>
      <c r="F349" t="s">
        <v>263</v>
      </c>
      <c r="G349" t="s">
        <v>59</v>
      </c>
      <c r="H349" s="1">
        <v>44209</v>
      </c>
      <c r="I349" t="s">
        <v>35</v>
      </c>
      <c r="J349" t="s">
        <v>36</v>
      </c>
      <c r="K349">
        <v>2021</v>
      </c>
      <c r="L349">
        <v>3559</v>
      </c>
      <c r="M349">
        <v>148</v>
      </c>
      <c r="N349">
        <v>525</v>
      </c>
      <c r="O349">
        <v>1868475</v>
      </c>
      <c r="P349">
        <v>37369.5</v>
      </c>
      <c r="Q349">
        <v>1831105.5</v>
      </c>
      <c r="R349">
        <v>1017.338</v>
      </c>
      <c r="S349">
        <v>526732</v>
      </c>
      <c r="T349">
        <v>1304373.5</v>
      </c>
    </row>
    <row r="350" spans="1:20" x14ac:dyDescent="0.35">
      <c r="A350" t="s">
        <v>37</v>
      </c>
      <c r="B350" t="s">
        <v>21</v>
      </c>
      <c r="C350" t="s">
        <v>48</v>
      </c>
      <c r="D350" t="s">
        <v>98</v>
      </c>
      <c r="E350" t="s">
        <v>50</v>
      </c>
      <c r="F350" t="s">
        <v>99</v>
      </c>
      <c r="G350" t="s">
        <v>59</v>
      </c>
      <c r="H350" s="1">
        <v>44224</v>
      </c>
      <c r="I350" t="s">
        <v>35</v>
      </c>
      <c r="J350" t="s">
        <v>36</v>
      </c>
      <c r="K350">
        <v>2021</v>
      </c>
      <c r="L350">
        <v>319</v>
      </c>
      <c r="M350">
        <v>308</v>
      </c>
      <c r="N350">
        <v>525</v>
      </c>
      <c r="O350">
        <v>167475</v>
      </c>
      <c r="P350">
        <v>3349.5</v>
      </c>
      <c r="Q350">
        <v>164125.5</v>
      </c>
      <c r="R350">
        <v>91.238</v>
      </c>
      <c r="S350">
        <v>98252</v>
      </c>
      <c r="T350">
        <v>65873.5</v>
      </c>
    </row>
    <row r="351" spans="1:20" x14ac:dyDescent="0.35">
      <c r="A351" t="s">
        <v>37</v>
      </c>
      <c r="B351" t="s">
        <v>30</v>
      </c>
      <c r="C351" t="s">
        <v>48</v>
      </c>
      <c r="D351" t="s">
        <v>231</v>
      </c>
      <c r="E351" t="s">
        <v>50</v>
      </c>
      <c r="F351" t="s">
        <v>232</v>
      </c>
      <c r="G351" t="s">
        <v>59</v>
      </c>
      <c r="H351" s="1">
        <v>44208</v>
      </c>
      <c r="I351" t="s">
        <v>35</v>
      </c>
      <c r="J351" t="s">
        <v>36</v>
      </c>
      <c r="K351">
        <v>2021</v>
      </c>
      <c r="L351">
        <v>2328</v>
      </c>
      <c r="M351">
        <v>308</v>
      </c>
      <c r="N351">
        <v>525</v>
      </c>
      <c r="O351">
        <v>1222200</v>
      </c>
      <c r="P351">
        <v>24444</v>
      </c>
      <c r="Q351">
        <v>1197756</v>
      </c>
      <c r="R351">
        <v>665.42</v>
      </c>
      <c r="S351">
        <v>717024</v>
      </c>
      <c r="T351">
        <v>480732</v>
      </c>
    </row>
    <row r="352" spans="1:20" x14ac:dyDescent="0.35">
      <c r="A352" t="s">
        <v>37</v>
      </c>
      <c r="B352" t="s">
        <v>54</v>
      </c>
      <c r="C352" t="s">
        <v>102</v>
      </c>
      <c r="D352" t="s">
        <v>106</v>
      </c>
      <c r="E352" t="s">
        <v>104</v>
      </c>
      <c r="F352" t="s">
        <v>107</v>
      </c>
      <c r="G352" t="s">
        <v>59</v>
      </c>
      <c r="H352" s="1">
        <v>44378</v>
      </c>
      <c r="I352" t="s">
        <v>89</v>
      </c>
      <c r="J352" t="s">
        <v>28</v>
      </c>
      <c r="K352">
        <v>2021</v>
      </c>
      <c r="L352">
        <v>3559</v>
      </c>
      <c r="M352">
        <v>320</v>
      </c>
      <c r="N352">
        <v>525</v>
      </c>
      <c r="O352">
        <v>1868475</v>
      </c>
      <c r="P352">
        <v>37369.5</v>
      </c>
      <c r="Q352">
        <v>1831105.5</v>
      </c>
      <c r="R352">
        <v>1017.338</v>
      </c>
      <c r="S352">
        <v>1138880</v>
      </c>
      <c r="T352">
        <v>692225.5</v>
      </c>
    </row>
    <row r="353" spans="1:20" x14ac:dyDescent="0.35">
      <c r="A353" t="s">
        <v>29</v>
      </c>
      <c r="B353" t="s">
        <v>84</v>
      </c>
      <c r="C353" t="s">
        <v>31</v>
      </c>
      <c r="D353" t="s">
        <v>210</v>
      </c>
      <c r="E353" t="s">
        <v>33</v>
      </c>
      <c r="F353" t="s">
        <v>211</v>
      </c>
      <c r="G353" t="s">
        <v>59</v>
      </c>
      <c r="H353" s="1">
        <v>44318</v>
      </c>
      <c r="I353" t="s">
        <v>77</v>
      </c>
      <c r="J353" t="s">
        <v>78</v>
      </c>
      <c r="K353">
        <v>2021</v>
      </c>
      <c r="L353">
        <v>2334</v>
      </c>
      <c r="M353">
        <v>12</v>
      </c>
      <c r="N353">
        <v>23</v>
      </c>
      <c r="O353">
        <v>53682</v>
      </c>
      <c r="P353">
        <v>1610.46</v>
      </c>
      <c r="Q353">
        <v>52071.54</v>
      </c>
      <c r="R353">
        <v>28.29975</v>
      </c>
      <c r="S353">
        <v>28008</v>
      </c>
      <c r="T353">
        <v>24063.54</v>
      </c>
    </row>
    <row r="354" spans="1:20" x14ac:dyDescent="0.35">
      <c r="A354" t="s">
        <v>29</v>
      </c>
      <c r="B354" t="s">
        <v>42</v>
      </c>
      <c r="C354" t="s">
        <v>48</v>
      </c>
      <c r="D354" t="s">
        <v>203</v>
      </c>
      <c r="E354" t="s">
        <v>50</v>
      </c>
      <c r="F354" t="s">
        <v>188</v>
      </c>
      <c r="G354" t="s">
        <v>59</v>
      </c>
      <c r="H354" s="1">
        <v>44288</v>
      </c>
      <c r="I354" t="s">
        <v>112</v>
      </c>
      <c r="J354" t="s">
        <v>78</v>
      </c>
      <c r="K354">
        <v>2021</v>
      </c>
      <c r="L354">
        <v>2334</v>
      </c>
      <c r="M354">
        <v>308</v>
      </c>
      <c r="N354">
        <v>23</v>
      </c>
      <c r="O354">
        <v>53682</v>
      </c>
      <c r="P354">
        <v>1610.46</v>
      </c>
      <c r="Q354">
        <v>52071.54</v>
      </c>
      <c r="R354">
        <v>28.29975</v>
      </c>
      <c r="S354">
        <v>718872</v>
      </c>
      <c r="T354">
        <v>-666800.46</v>
      </c>
    </row>
    <row r="355" spans="1:20" x14ac:dyDescent="0.35">
      <c r="A355" t="s">
        <v>29</v>
      </c>
      <c r="B355" t="s">
        <v>30</v>
      </c>
      <c r="C355" t="s">
        <v>31</v>
      </c>
      <c r="D355" t="s">
        <v>32</v>
      </c>
      <c r="E355" t="s">
        <v>33</v>
      </c>
      <c r="F355" t="s">
        <v>34</v>
      </c>
      <c r="G355" t="s">
        <v>59</v>
      </c>
      <c r="H355" s="1">
        <v>44296</v>
      </c>
      <c r="I355" t="s">
        <v>112</v>
      </c>
      <c r="J355" t="s">
        <v>78</v>
      </c>
      <c r="K355">
        <v>2021</v>
      </c>
      <c r="L355">
        <v>2713</v>
      </c>
      <c r="M355">
        <v>12</v>
      </c>
      <c r="N355">
        <v>23</v>
      </c>
      <c r="O355">
        <v>62399</v>
      </c>
      <c r="P355">
        <v>2495.9599999999996</v>
      </c>
      <c r="Q355">
        <v>59903.040000000001</v>
      </c>
      <c r="R355">
        <v>32.558399999999999</v>
      </c>
      <c r="S355">
        <v>32556</v>
      </c>
      <c r="T355">
        <v>27347.040000000001</v>
      </c>
    </row>
    <row r="356" spans="1:20" x14ac:dyDescent="0.35">
      <c r="A356" t="s">
        <v>37</v>
      </c>
      <c r="B356" t="s">
        <v>21</v>
      </c>
      <c r="C356" t="s">
        <v>43</v>
      </c>
      <c r="D356" t="s">
        <v>245</v>
      </c>
      <c r="E356" t="s">
        <v>45</v>
      </c>
      <c r="F356" t="s">
        <v>246</v>
      </c>
      <c r="G356" t="s">
        <v>59</v>
      </c>
      <c r="H356" s="1">
        <v>44389</v>
      </c>
      <c r="I356" t="s">
        <v>89</v>
      </c>
      <c r="J356" t="s">
        <v>28</v>
      </c>
      <c r="K356">
        <v>2021</v>
      </c>
      <c r="L356">
        <v>883</v>
      </c>
      <c r="M356">
        <v>148</v>
      </c>
      <c r="N356">
        <v>30</v>
      </c>
      <c r="O356">
        <v>26490</v>
      </c>
      <c r="P356">
        <v>1059.5999999999999</v>
      </c>
      <c r="Q356">
        <v>25430.400000000001</v>
      </c>
      <c r="R356">
        <v>14.131200000000002</v>
      </c>
      <c r="S356">
        <v>130684</v>
      </c>
      <c r="T356">
        <v>-105253.6</v>
      </c>
    </row>
    <row r="357" spans="1:20" x14ac:dyDescent="0.35">
      <c r="A357" t="s">
        <v>29</v>
      </c>
      <c r="B357" t="s">
        <v>38</v>
      </c>
      <c r="C357" t="s">
        <v>31</v>
      </c>
      <c r="D357" t="s">
        <v>199</v>
      </c>
      <c r="E357" t="s">
        <v>33</v>
      </c>
      <c r="F357" t="s">
        <v>200</v>
      </c>
      <c r="G357" t="s">
        <v>59</v>
      </c>
      <c r="H357" s="1">
        <v>44277</v>
      </c>
      <c r="I357" t="s">
        <v>109</v>
      </c>
      <c r="J357" t="s">
        <v>36</v>
      </c>
      <c r="K357">
        <v>2021</v>
      </c>
      <c r="L357">
        <v>1817</v>
      </c>
      <c r="M357">
        <v>12</v>
      </c>
      <c r="N357">
        <v>23</v>
      </c>
      <c r="O357">
        <v>41791</v>
      </c>
      <c r="P357">
        <v>1671.64</v>
      </c>
      <c r="Q357">
        <v>40119.360000000001</v>
      </c>
      <c r="R357">
        <v>21.801599999999997</v>
      </c>
      <c r="S357">
        <v>21804</v>
      </c>
      <c r="T357">
        <v>18315.36</v>
      </c>
    </row>
    <row r="358" spans="1:20" x14ac:dyDescent="0.35">
      <c r="A358" t="s">
        <v>37</v>
      </c>
      <c r="B358" t="s">
        <v>47</v>
      </c>
      <c r="C358" t="s">
        <v>43</v>
      </c>
      <c r="D358" t="s">
        <v>233</v>
      </c>
      <c r="E358" t="s">
        <v>45</v>
      </c>
      <c r="F358" t="s">
        <v>234</v>
      </c>
      <c r="G358" t="s">
        <v>59</v>
      </c>
      <c r="H358" s="1">
        <v>44352</v>
      </c>
      <c r="I358" t="s">
        <v>144</v>
      </c>
      <c r="J358" t="s">
        <v>78</v>
      </c>
      <c r="K358">
        <v>2021</v>
      </c>
      <c r="L358">
        <v>3175</v>
      </c>
      <c r="M358">
        <v>148</v>
      </c>
      <c r="N358">
        <v>30</v>
      </c>
      <c r="O358">
        <v>95250</v>
      </c>
      <c r="P358">
        <v>3810</v>
      </c>
      <c r="Q358">
        <v>91440</v>
      </c>
      <c r="R358">
        <v>50.803199999999997</v>
      </c>
      <c r="S358">
        <v>469900</v>
      </c>
      <c r="T358">
        <v>-378460</v>
      </c>
    </row>
    <row r="359" spans="1:20" x14ac:dyDescent="0.35">
      <c r="A359" t="s">
        <v>37</v>
      </c>
      <c r="B359" t="s">
        <v>65</v>
      </c>
      <c r="C359" t="s">
        <v>22</v>
      </c>
      <c r="D359" t="s">
        <v>92</v>
      </c>
      <c r="E359" t="s">
        <v>24</v>
      </c>
      <c r="F359" t="s">
        <v>93</v>
      </c>
      <c r="G359" t="s">
        <v>108</v>
      </c>
      <c r="H359" s="1">
        <v>44425</v>
      </c>
      <c r="I359" t="s">
        <v>41</v>
      </c>
      <c r="J359" t="s">
        <v>28</v>
      </c>
      <c r="K359">
        <v>2021</v>
      </c>
      <c r="L359">
        <v>1391</v>
      </c>
      <c r="M359">
        <v>6</v>
      </c>
      <c r="N359">
        <v>11</v>
      </c>
      <c r="O359">
        <v>15301</v>
      </c>
      <c r="P359">
        <v>765.05</v>
      </c>
      <c r="Q359">
        <v>14535.95</v>
      </c>
      <c r="R359">
        <v>7.7073499999999999</v>
      </c>
      <c r="S359">
        <v>8346</v>
      </c>
      <c r="T359">
        <v>6189.9500000000007</v>
      </c>
    </row>
    <row r="360" spans="1:20" x14ac:dyDescent="0.35">
      <c r="A360" t="s">
        <v>37</v>
      </c>
      <c r="B360" t="s">
        <v>38</v>
      </c>
      <c r="C360" t="s">
        <v>31</v>
      </c>
      <c r="D360" t="s">
        <v>39</v>
      </c>
      <c r="E360" t="s">
        <v>33</v>
      </c>
      <c r="F360" t="s">
        <v>40</v>
      </c>
      <c r="G360" t="s">
        <v>108</v>
      </c>
      <c r="H360" s="1">
        <v>44467</v>
      </c>
      <c r="I360" t="s">
        <v>27</v>
      </c>
      <c r="J360" t="s">
        <v>28</v>
      </c>
      <c r="K360">
        <v>2021</v>
      </c>
      <c r="L360">
        <v>2819</v>
      </c>
      <c r="M360">
        <v>12</v>
      </c>
      <c r="N360">
        <v>11</v>
      </c>
      <c r="O360">
        <v>31009</v>
      </c>
      <c r="P360">
        <v>1550.4499999999998</v>
      </c>
      <c r="Q360">
        <v>29458.55</v>
      </c>
      <c r="R360">
        <v>15.620850000000001</v>
      </c>
      <c r="S360">
        <v>33828</v>
      </c>
      <c r="T360">
        <v>-4369.4500000000007</v>
      </c>
    </row>
    <row r="361" spans="1:20" x14ac:dyDescent="0.35">
      <c r="A361" t="s">
        <v>37</v>
      </c>
      <c r="B361" t="s">
        <v>47</v>
      </c>
      <c r="C361" t="s">
        <v>55</v>
      </c>
      <c r="D361" t="s">
        <v>172</v>
      </c>
      <c r="E361" t="s">
        <v>57</v>
      </c>
      <c r="F361" t="s">
        <v>173</v>
      </c>
      <c r="G361" t="s">
        <v>108</v>
      </c>
      <c r="H361" s="1">
        <v>44340</v>
      </c>
      <c r="I361" t="s">
        <v>77</v>
      </c>
      <c r="J361" t="s">
        <v>78</v>
      </c>
      <c r="K361">
        <v>2021</v>
      </c>
      <c r="L361">
        <v>1219</v>
      </c>
      <c r="M361">
        <v>4</v>
      </c>
      <c r="N361">
        <v>11</v>
      </c>
      <c r="O361">
        <v>13409</v>
      </c>
      <c r="P361">
        <v>670.45</v>
      </c>
      <c r="Q361">
        <v>12738.55</v>
      </c>
      <c r="R361">
        <v>6.7563999999999993</v>
      </c>
      <c r="S361">
        <v>4876</v>
      </c>
      <c r="T361">
        <v>7862.5499999999993</v>
      </c>
    </row>
    <row r="362" spans="1:20" x14ac:dyDescent="0.35">
      <c r="A362" t="s">
        <v>29</v>
      </c>
      <c r="B362" t="s">
        <v>84</v>
      </c>
      <c r="C362" t="s">
        <v>31</v>
      </c>
      <c r="D362" t="s">
        <v>210</v>
      </c>
      <c r="E362" t="s">
        <v>33</v>
      </c>
      <c r="F362" t="s">
        <v>211</v>
      </c>
      <c r="G362" t="s">
        <v>108</v>
      </c>
      <c r="H362" s="1">
        <v>44271</v>
      </c>
      <c r="I362" t="s">
        <v>109</v>
      </c>
      <c r="J362" t="s">
        <v>36</v>
      </c>
      <c r="K362">
        <v>2021</v>
      </c>
      <c r="L362">
        <v>2539</v>
      </c>
      <c r="M362">
        <v>12</v>
      </c>
      <c r="N362">
        <v>23</v>
      </c>
      <c r="O362">
        <v>58397</v>
      </c>
      <c r="P362">
        <v>2919.8500000000004</v>
      </c>
      <c r="Q362">
        <v>55477.15</v>
      </c>
      <c r="R362">
        <v>30.152999999999999</v>
      </c>
      <c r="S362">
        <v>30468</v>
      </c>
      <c r="T362">
        <v>25009.15</v>
      </c>
    </row>
    <row r="363" spans="1:20" x14ac:dyDescent="0.35">
      <c r="A363" t="s">
        <v>37</v>
      </c>
      <c r="B363" t="s">
        <v>42</v>
      </c>
      <c r="C363" t="s">
        <v>102</v>
      </c>
      <c r="D363" t="s">
        <v>103</v>
      </c>
      <c r="E363" t="s">
        <v>104</v>
      </c>
      <c r="F363" t="s">
        <v>105</v>
      </c>
      <c r="G363" t="s">
        <v>108</v>
      </c>
      <c r="H363" s="1">
        <v>44207</v>
      </c>
      <c r="I363" t="s">
        <v>35</v>
      </c>
      <c r="J363" t="s">
        <v>36</v>
      </c>
      <c r="K363">
        <v>2021</v>
      </c>
      <c r="L363">
        <v>1474</v>
      </c>
      <c r="M363">
        <v>320</v>
      </c>
      <c r="N363">
        <v>525</v>
      </c>
      <c r="O363">
        <v>773850</v>
      </c>
      <c r="P363">
        <v>38692.5</v>
      </c>
      <c r="Q363">
        <v>735157.5</v>
      </c>
      <c r="R363">
        <v>408.31</v>
      </c>
      <c r="S363">
        <v>471680</v>
      </c>
      <c r="T363">
        <v>263477.5</v>
      </c>
    </row>
    <row r="364" spans="1:20" x14ac:dyDescent="0.35">
      <c r="A364" t="s">
        <v>79</v>
      </c>
      <c r="B364" t="s">
        <v>38</v>
      </c>
      <c r="C364" t="s">
        <v>55</v>
      </c>
      <c r="D364" t="s">
        <v>208</v>
      </c>
      <c r="E364" t="s">
        <v>57</v>
      </c>
      <c r="F364" t="s">
        <v>209</v>
      </c>
      <c r="G364" t="s">
        <v>108</v>
      </c>
      <c r="H364" s="1">
        <v>44197</v>
      </c>
      <c r="I364" t="s">
        <v>35</v>
      </c>
      <c r="J364" t="s">
        <v>36</v>
      </c>
      <c r="K364">
        <v>2021</v>
      </c>
      <c r="L364">
        <v>2759</v>
      </c>
      <c r="M364">
        <v>4</v>
      </c>
      <c r="N364">
        <v>18</v>
      </c>
      <c r="O364">
        <v>49662</v>
      </c>
      <c r="P364">
        <v>2979.72</v>
      </c>
      <c r="Q364">
        <v>46682.28</v>
      </c>
      <c r="R364">
        <v>25.93272</v>
      </c>
      <c r="S364">
        <v>11036</v>
      </c>
      <c r="T364">
        <v>35646.28</v>
      </c>
    </row>
    <row r="365" spans="1:20" x14ac:dyDescent="0.35">
      <c r="A365" t="s">
        <v>20</v>
      </c>
      <c r="B365" t="s">
        <v>30</v>
      </c>
      <c r="C365" t="s">
        <v>55</v>
      </c>
      <c r="D365" t="s">
        <v>289</v>
      </c>
      <c r="E365" t="s">
        <v>57</v>
      </c>
      <c r="F365" t="s">
        <v>230</v>
      </c>
      <c r="G365" t="s">
        <v>108</v>
      </c>
      <c r="H365" s="1">
        <v>44424</v>
      </c>
      <c r="I365" t="s">
        <v>41</v>
      </c>
      <c r="J365" t="s">
        <v>28</v>
      </c>
      <c r="K365">
        <v>2021</v>
      </c>
      <c r="L365">
        <v>1064</v>
      </c>
      <c r="M365">
        <v>4</v>
      </c>
      <c r="N365">
        <v>188</v>
      </c>
      <c r="O365">
        <v>200032</v>
      </c>
      <c r="P365">
        <v>12001.92</v>
      </c>
      <c r="Q365">
        <v>188030.07999999999</v>
      </c>
      <c r="R365">
        <v>104.2225</v>
      </c>
      <c r="S365">
        <v>4256</v>
      </c>
      <c r="T365">
        <v>183774.07999999999</v>
      </c>
    </row>
    <row r="366" spans="1:20" x14ac:dyDescent="0.35">
      <c r="A366" t="s">
        <v>37</v>
      </c>
      <c r="B366" t="s">
        <v>54</v>
      </c>
      <c r="C366" t="s">
        <v>22</v>
      </c>
      <c r="D366" t="s">
        <v>226</v>
      </c>
      <c r="E366" t="s">
        <v>24</v>
      </c>
      <c r="F366" t="s">
        <v>227</v>
      </c>
      <c r="G366" t="s">
        <v>108</v>
      </c>
      <c r="H366" s="1">
        <v>44464</v>
      </c>
      <c r="I366" t="s">
        <v>27</v>
      </c>
      <c r="J366" t="s">
        <v>28</v>
      </c>
      <c r="K366">
        <v>2021</v>
      </c>
      <c r="L366">
        <v>1684</v>
      </c>
      <c r="M366">
        <v>6</v>
      </c>
      <c r="N366">
        <v>11</v>
      </c>
      <c r="O366">
        <v>18524</v>
      </c>
      <c r="P366">
        <v>1111.44</v>
      </c>
      <c r="Q366">
        <v>17412.560000000001</v>
      </c>
      <c r="R366">
        <v>9.2317400000000003</v>
      </c>
      <c r="S366">
        <v>10104</v>
      </c>
      <c r="T366">
        <v>7308.5600000000013</v>
      </c>
    </row>
    <row r="367" spans="1:20" x14ac:dyDescent="0.35">
      <c r="A367" t="s">
        <v>37</v>
      </c>
      <c r="B367" t="s">
        <v>54</v>
      </c>
      <c r="C367" t="s">
        <v>31</v>
      </c>
      <c r="D367" t="s">
        <v>183</v>
      </c>
      <c r="E367" t="s">
        <v>33</v>
      </c>
      <c r="F367" t="s">
        <v>184</v>
      </c>
      <c r="G367" t="s">
        <v>108</v>
      </c>
      <c r="H367" s="1">
        <v>44305</v>
      </c>
      <c r="I367" t="s">
        <v>112</v>
      </c>
      <c r="J367" t="s">
        <v>78</v>
      </c>
      <c r="K367">
        <v>2021</v>
      </c>
      <c r="L367">
        <v>872</v>
      </c>
      <c r="M367">
        <v>12</v>
      </c>
      <c r="N367">
        <v>525</v>
      </c>
      <c r="O367">
        <v>457800</v>
      </c>
      <c r="P367">
        <v>27468</v>
      </c>
      <c r="Q367">
        <v>430332</v>
      </c>
      <c r="R367">
        <v>239.18299999999999</v>
      </c>
      <c r="S367">
        <v>10464</v>
      </c>
      <c r="T367">
        <v>419868</v>
      </c>
    </row>
    <row r="368" spans="1:20" x14ac:dyDescent="0.35">
      <c r="A368" t="s">
        <v>37</v>
      </c>
      <c r="B368" t="s">
        <v>30</v>
      </c>
      <c r="C368" t="s">
        <v>48</v>
      </c>
      <c r="D368" t="s">
        <v>231</v>
      </c>
      <c r="E368" t="s">
        <v>50</v>
      </c>
      <c r="F368" t="s">
        <v>232</v>
      </c>
      <c r="G368" t="s">
        <v>108</v>
      </c>
      <c r="H368" s="1">
        <v>44402</v>
      </c>
      <c r="I368" t="s">
        <v>89</v>
      </c>
      <c r="J368" t="s">
        <v>28</v>
      </c>
      <c r="K368">
        <v>2021</v>
      </c>
      <c r="L368">
        <v>1348</v>
      </c>
      <c r="M368">
        <v>308</v>
      </c>
      <c r="N368">
        <v>30</v>
      </c>
      <c r="O368">
        <v>40440</v>
      </c>
      <c r="P368">
        <v>2426.4</v>
      </c>
      <c r="Q368">
        <v>38013.599999999999</v>
      </c>
      <c r="R368">
        <v>21.112400000000001</v>
      </c>
      <c r="S368">
        <v>415184</v>
      </c>
      <c r="T368">
        <v>-377170.4</v>
      </c>
    </row>
    <row r="369" spans="1:20" x14ac:dyDescent="0.35">
      <c r="A369" t="s">
        <v>37</v>
      </c>
      <c r="B369" t="s">
        <v>47</v>
      </c>
      <c r="C369" t="s">
        <v>102</v>
      </c>
      <c r="D369" t="s">
        <v>224</v>
      </c>
      <c r="E369" t="s">
        <v>104</v>
      </c>
      <c r="F369" t="s">
        <v>225</v>
      </c>
      <c r="G369" t="s">
        <v>108</v>
      </c>
      <c r="H369" s="1">
        <v>44248</v>
      </c>
      <c r="I369" t="s">
        <v>52</v>
      </c>
      <c r="J369" t="s">
        <v>36</v>
      </c>
      <c r="K369">
        <v>2021</v>
      </c>
      <c r="L369">
        <v>872</v>
      </c>
      <c r="M369">
        <v>320</v>
      </c>
      <c r="N369">
        <v>525</v>
      </c>
      <c r="O369">
        <v>457800</v>
      </c>
      <c r="P369">
        <v>27468</v>
      </c>
      <c r="Q369">
        <v>430332</v>
      </c>
      <c r="R369">
        <v>239.18299999999999</v>
      </c>
      <c r="S369">
        <v>279040</v>
      </c>
      <c r="T369">
        <v>151292</v>
      </c>
    </row>
    <row r="370" spans="1:20" x14ac:dyDescent="0.35">
      <c r="A370" t="s">
        <v>37</v>
      </c>
      <c r="B370" t="s">
        <v>21</v>
      </c>
      <c r="C370" t="s">
        <v>102</v>
      </c>
      <c r="D370" t="s">
        <v>137</v>
      </c>
      <c r="E370" t="s">
        <v>104</v>
      </c>
      <c r="F370" t="s">
        <v>138</v>
      </c>
      <c r="G370" t="s">
        <v>108</v>
      </c>
      <c r="H370" s="1">
        <v>44429</v>
      </c>
      <c r="I370" t="s">
        <v>41</v>
      </c>
      <c r="J370" t="s">
        <v>28</v>
      </c>
      <c r="K370">
        <v>2021</v>
      </c>
      <c r="L370">
        <v>2491</v>
      </c>
      <c r="M370">
        <v>320</v>
      </c>
      <c r="N370">
        <v>525</v>
      </c>
      <c r="O370">
        <v>1307775</v>
      </c>
      <c r="P370">
        <v>78466.5</v>
      </c>
      <c r="Q370">
        <v>1229308.5</v>
      </c>
      <c r="R370">
        <v>683.00400000000002</v>
      </c>
      <c r="S370">
        <v>797120</v>
      </c>
      <c r="T370">
        <v>432188.5</v>
      </c>
    </row>
    <row r="371" spans="1:20" x14ac:dyDescent="0.35">
      <c r="A371" t="s">
        <v>37</v>
      </c>
      <c r="B371" t="s">
        <v>54</v>
      </c>
      <c r="C371" t="s">
        <v>22</v>
      </c>
      <c r="D371" t="s">
        <v>226</v>
      </c>
      <c r="E371" t="s">
        <v>24</v>
      </c>
      <c r="F371" t="s">
        <v>227</v>
      </c>
      <c r="G371" t="s">
        <v>108</v>
      </c>
      <c r="H371" s="1">
        <v>44334</v>
      </c>
      <c r="I371" t="s">
        <v>77</v>
      </c>
      <c r="J371" t="s">
        <v>78</v>
      </c>
      <c r="K371">
        <v>2021</v>
      </c>
      <c r="L371">
        <v>2108</v>
      </c>
      <c r="M371">
        <v>6</v>
      </c>
      <c r="N371">
        <v>30</v>
      </c>
      <c r="O371">
        <v>63240</v>
      </c>
      <c r="P371">
        <v>3794.4</v>
      </c>
      <c r="Q371">
        <v>59445.599999999999</v>
      </c>
      <c r="R371">
        <v>33.031599999999997</v>
      </c>
      <c r="S371">
        <v>12648</v>
      </c>
      <c r="T371">
        <v>46797.599999999999</v>
      </c>
    </row>
    <row r="372" spans="1:20" x14ac:dyDescent="0.35">
      <c r="A372" t="s">
        <v>37</v>
      </c>
      <c r="B372" t="s">
        <v>38</v>
      </c>
      <c r="C372" t="s">
        <v>31</v>
      </c>
      <c r="D372" t="s">
        <v>117</v>
      </c>
      <c r="E372" t="s">
        <v>33</v>
      </c>
      <c r="F372" t="s">
        <v>118</v>
      </c>
      <c r="G372" t="s">
        <v>108</v>
      </c>
      <c r="H372" s="1">
        <v>44437</v>
      </c>
      <c r="I372" t="s">
        <v>41</v>
      </c>
      <c r="J372" t="s">
        <v>28</v>
      </c>
      <c r="K372">
        <v>2021</v>
      </c>
      <c r="L372">
        <v>2108</v>
      </c>
      <c r="M372">
        <v>12</v>
      </c>
      <c r="N372">
        <v>30</v>
      </c>
      <c r="O372">
        <v>63240</v>
      </c>
      <c r="P372">
        <v>3794.4</v>
      </c>
      <c r="Q372">
        <v>59445.599999999999</v>
      </c>
      <c r="R372">
        <v>33.031599999999997</v>
      </c>
      <c r="S372">
        <v>25296</v>
      </c>
      <c r="T372">
        <v>34149.599999999999</v>
      </c>
    </row>
    <row r="373" spans="1:20" x14ac:dyDescent="0.35">
      <c r="A373" t="s">
        <v>37</v>
      </c>
      <c r="B373" t="s">
        <v>30</v>
      </c>
      <c r="C373" t="s">
        <v>55</v>
      </c>
      <c r="D373" t="s">
        <v>206</v>
      </c>
      <c r="E373" t="s">
        <v>57</v>
      </c>
      <c r="F373" t="s">
        <v>207</v>
      </c>
      <c r="G373" t="s">
        <v>108</v>
      </c>
      <c r="H373" s="1">
        <v>44309</v>
      </c>
      <c r="I373" t="s">
        <v>112</v>
      </c>
      <c r="J373" t="s">
        <v>78</v>
      </c>
      <c r="K373">
        <v>2021</v>
      </c>
      <c r="L373">
        <v>2201</v>
      </c>
      <c r="M373">
        <v>4</v>
      </c>
      <c r="N373">
        <v>30</v>
      </c>
      <c r="O373">
        <v>66030</v>
      </c>
      <c r="P373">
        <v>4622.0999999999995</v>
      </c>
      <c r="Q373">
        <v>61407.9</v>
      </c>
      <c r="R373">
        <v>34.112400000000001</v>
      </c>
      <c r="S373">
        <v>8804</v>
      </c>
      <c r="T373">
        <v>52603.9</v>
      </c>
    </row>
    <row r="374" spans="1:20" x14ac:dyDescent="0.35">
      <c r="A374" t="s">
        <v>37</v>
      </c>
      <c r="B374" t="s">
        <v>38</v>
      </c>
      <c r="C374" t="s">
        <v>31</v>
      </c>
      <c r="D374" t="s">
        <v>117</v>
      </c>
      <c r="E374" t="s">
        <v>33</v>
      </c>
      <c r="F374" t="s">
        <v>118</v>
      </c>
      <c r="G374" t="s">
        <v>108</v>
      </c>
      <c r="H374" s="1">
        <v>44233</v>
      </c>
      <c r="I374" t="s">
        <v>52</v>
      </c>
      <c r="J374" t="s">
        <v>36</v>
      </c>
      <c r="K374">
        <v>2021</v>
      </c>
      <c r="L374">
        <v>1237</v>
      </c>
      <c r="M374">
        <v>12</v>
      </c>
      <c r="N374">
        <v>11</v>
      </c>
      <c r="O374">
        <v>13607</v>
      </c>
      <c r="P374">
        <v>952.4899999999999</v>
      </c>
      <c r="Q374">
        <v>12654.51</v>
      </c>
      <c r="R374">
        <v>6.7118100000000007</v>
      </c>
      <c r="S374">
        <v>14844</v>
      </c>
      <c r="T374">
        <v>-2189.4899999999998</v>
      </c>
    </row>
    <row r="375" spans="1:20" x14ac:dyDescent="0.35">
      <c r="A375" t="s">
        <v>53</v>
      </c>
      <c r="B375" t="s">
        <v>84</v>
      </c>
      <c r="C375" t="s">
        <v>31</v>
      </c>
      <c r="D375" t="s">
        <v>220</v>
      </c>
      <c r="E375" t="s">
        <v>33</v>
      </c>
      <c r="F375" t="s">
        <v>221</v>
      </c>
      <c r="G375" t="s">
        <v>108</v>
      </c>
      <c r="H375" s="1">
        <v>44335</v>
      </c>
      <c r="I375" t="s">
        <v>77</v>
      </c>
      <c r="J375" t="s">
        <v>78</v>
      </c>
      <c r="K375">
        <v>2021</v>
      </c>
      <c r="L375">
        <v>1685</v>
      </c>
      <c r="M375">
        <v>12</v>
      </c>
      <c r="N375">
        <v>450</v>
      </c>
      <c r="O375">
        <v>758250</v>
      </c>
      <c r="P375">
        <v>53077.500000000007</v>
      </c>
      <c r="Q375">
        <v>705172.5</v>
      </c>
      <c r="R375">
        <v>391.71600000000001</v>
      </c>
      <c r="S375">
        <v>20220</v>
      </c>
      <c r="T375">
        <v>684952.5</v>
      </c>
    </row>
    <row r="376" spans="1:20" x14ac:dyDescent="0.35">
      <c r="A376" t="s">
        <v>37</v>
      </c>
      <c r="B376" t="s">
        <v>47</v>
      </c>
      <c r="C376" t="s">
        <v>31</v>
      </c>
      <c r="D376" t="s">
        <v>149</v>
      </c>
      <c r="E376" t="s">
        <v>33</v>
      </c>
      <c r="F376" t="s">
        <v>150</v>
      </c>
      <c r="G376" t="s">
        <v>108</v>
      </c>
      <c r="H376" s="1">
        <v>44361</v>
      </c>
      <c r="I376" t="s">
        <v>144</v>
      </c>
      <c r="J376" t="s">
        <v>78</v>
      </c>
      <c r="K376">
        <v>2021</v>
      </c>
      <c r="L376">
        <v>2550</v>
      </c>
      <c r="M376">
        <v>12</v>
      </c>
      <c r="N376">
        <v>11</v>
      </c>
      <c r="O376">
        <v>28050</v>
      </c>
      <c r="P376">
        <v>1963.5000000000002</v>
      </c>
      <c r="Q376">
        <v>26086.5</v>
      </c>
      <c r="R376">
        <v>13.83375</v>
      </c>
      <c r="S376">
        <v>30600</v>
      </c>
      <c r="T376">
        <v>-4513.5</v>
      </c>
    </row>
    <row r="377" spans="1:20" x14ac:dyDescent="0.35">
      <c r="A377" t="s">
        <v>37</v>
      </c>
      <c r="B377" t="s">
        <v>21</v>
      </c>
      <c r="C377" t="s">
        <v>43</v>
      </c>
      <c r="D377" t="s">
        <v>245</v>
      </c>
      <c r="E377" t="s">
        <v>45</v>
      </c>
      <c r="F377" t="s">
        <v>246</v>
      </c>
      <c r="G377" t="s">
        <v>108</v>
      </c>
      <c r="H377" s="1">
        <v>44238</v>
      </c>
      <c r="I377" t="s">
        <v>52</v>
      </c>
      <c r="J377" t="s">
        <v>36</v>
      </c>
      <c r="K377">
        <v>2021</v>
      </c>
      <c r="L377">
        <v>1705</v>
      </c>
      <c r="M377">
        <v>148</v>
      </c>
      <c r="N377">
        <v>30</v>
      </c>
      <c r="O377">
        <v>51150</v>
      </c>
      <c r="P377">
        <v>3580.5000000000005</v>
      </c>
      <c r="Q377">
        <v>47569.5</v>
      </c>
      <c r="R377">
        <v>26.430599999999998</v>
      </c>
      <c r="S377">
        <v>252340</v>
      </c>
      <c r="T377">
        <v>-204770.5</v>
      </c>
    </row>
    <row r="378" spans="1:20" x14ac:dyDescent="0.35">
      <c r="A378" t="s">
        <v>37</v>
      </c>
      <c r="B378" t="s">
        <v>38</v>
      </c>
      <c r="C378" t="s">
        <v>43</v>
      </c>
      <c r="D378" t="s">
        <v>262</v>
      </c>
      <c r="E378" t="s">
        <v>45</v>
      </c>
      <c r="F378" t="s">
        <v>263</v>
      </c>
      <c r="G378" t="s">
        <v>108</v>
      </c>
      <c r="H378" s="1">
        <v>44321</v>
      </c>
      <c r="I378" t="s">
        <v>77</v>
      </c>
      <c r="J378" t="s">
        <v>78</v>
      </c>
      <c r="K378">
        <v>2021</v>
      </c>
      <c r="L378">
        <v>706</v>
      </c>
      <c r="M378">
        <v>148</v>
      </c>
      <c r="N378">
        <v>30</v>
      </c>
      <c r="O378">
        <v>21180</v>
      </c>
      <c r="P378">
        <v>1482.6000000000001</v>
      </c>
      <c r="Q378">
        <v>19697.400000000001</v>
      </c>
      <c r="R378">
        <v>10.9368</v>
      </c>
      <c r="S378">
        <v>104488</v>
      </c>
      <c r="T378">
        <v>-84790.6</v>
      </c>
    </row>
    <row r="379" spans="1:20" x14ac:dyDescent="0.35">
      <c r="A379" t="s">
        <v>20</v>
      </c>
      <c r="B379" t="s">
        <v>21</v>
      </c>
      <c r="C379" t="s">
        <v>102</v>
      </c>
      <c r="D379" t="s">
        <v>276</v>
      </c>
      <c r="E379" t="s">
        <v>104</v>
      </c>
      <c r="F379" t="s">
        <v>217</v>
      </c>
      <c r="G379" t="s">
        <v>108</v>
      </c>
      <c r="H379" s="1">
        <v>44353</v>
      </c>
      <c r="I379" t="s">
        <v>144</v>
      </c>
      <c r="J379" t="s">
        <v>78</v>
      </c>
      <c r="K379">
        <v>2021</v>
      </c>
      <c r="L379">
        <v>1193</v>
      </c>
      <c r="M379">
        <v>320</v>
      </c>
      <c r="N379">
        <v>188</v>
      </c>
      <c r="O379">
        <v>224284</v>
      </c>
      <c r="P379">
        <v>15699.880000000001</v>
      </c>
      <c r="Q379">
        <v>208584.12</v>
      </c>
      <c r="R379">
        <v>115.55249999999999</v>
      </c>
      <c r="S379">
        <v>381760</v>
      </c>
      <c r="T379">
        <v>-173175.88</v>
      </c>
    </row>
    <row r="380" spans="1:20" x14ac:dyDescent="0.35">
      <c r="A380" t="s">
        <v>53</v>
      </c>
      <c r="B380" t="s">
        <v>54</v>
      </c>
      <c r="C380" t="s">
        <v>48</v>
      </c>
      <c r="D380" t="s">
        <v>267</v>
      </c>
      <c r="E380" t="s">
        <v>50</v>
      </c>
      <c r="F380" t="s">
        <v>215</v>
      </c>
      <c r="G380" t="s">
        <v>108</v>
      </c>
      <c r="H380" s="1">
        <v>44377</v>
      </c>
      <c r="I380" t="s">
        <v>144</v>
      </c>
      <c r="J380" t="s">
        <v>78</v>
      </c>
      <c r="K380">
        <v>2021</v>
      </c>
      <c r="L380">
        <v>970</v>
      </c>
      <c r="M380">
        <v>308</v>
      </c>
      <c r="N380">
        <v>450</v>
      </c>
      <c r="O380">
        <v>436500</v>
      </c>
      <c r="P380">
        <v>34920</v>
      </c>
      <c r="Q380">
        <v>401580</v>
      </c>
      <c r="R380">
        <v>223.00800000000001</v>
      </c>
      <c r="S380">
        <v>298760</v>
      </c>
      <c r="T380">
        <v>102820</v>
      </c>
    </row>
    <row r="381" spans="1:20" x14ac:dyDescent="0.35">
      <c r="A381" t="s">
        <v>79</v>
      </c>
      <c r="B381" t="s">
        <v>65</v>
      </c>
      <c r="C381" t="s">
        <v>55</v>
      </c>
      <c r="D381" t="s">
        <v>247</v>
      </c>
      <c r="E381" t="s">
        <v>57</v>
      </c>
      <c r="F381" t="s">
        <v>248</v>
      </c>
      <c r="G381" t="s">
        <v>108</v>
      </c>
      <c r="H381" s="1">
        <v>44244</v>
      </c>
      <c r="I381" t="s">
        <v>52</v>
      </c>
      <c r="J381" t="s">
        <v>36</v>
      </c>
      <c r="K381">
        <v>2021</v>
      </c>
      <c r="L381">
        <v>440</v>
      </c>
      <c r="M381">
        <v>4</v>
      </c>
      <c r="N381">
        <v>18</v>
      </c>
      <c r="O381">
        <v>7920</v>
      </c>
      <c r="P381">
        <v>712.8</v>
      </c>
      <c r="Q381">
        <v>7207.2</v>
      </c>
      <c r="R381">
        <v>4.0076400000000003</v>
      </c>
      <c r="S381">
        <v>1760</v>
      </c>
      <c r="T381">
        <v>5447.2</v>
      </c>
    </row>
    <row r="382" spans="1:20" x14ac:dyDescent="0.35">
      <c r="A382" t="s">
        <v>20</v>
      </c>
      <c r="B382" t="s">
        <v>42</v>
      </c>
      <c r="C382" t="s">
        <v>22</v>
      </c>
      <c r="D382" t="s">
        <v>228</v>
      </c>
      <c r="E382" t="s">
        <v>24</v>
      </c>
      <c r="F382" t="s">
        <v>122</v>
      </c>
      <c r="G382" t="s">
        <v>108</v>
      </c>
      <c r="H382" s="1">
        <v>44315</v>
      </c>
      <c r="I382" t="s">
        <v>112</v>
      </c>
      <c r="J382" t="s">
        <v>78</v>
      </c>
      <c r="K382">
        <v>2021</v>
      </c>
      <c r="L382">
        <v>2228</v>
      </c>
      <c r="M382">
        <v>6</v>
      </c>
      <c r="N382">
        <v>188</v>
      </c>
      <c r="O382">
        <v>418864</v>
      </c>
      <c r="P382">
        <v>37697.760000000002</v>
      </c>
      <c r="Q382">
        <v>381166.24</v>
      </c>
      <c r="R382">
        <v>211.23374999999999</v>
      </c>
      <c r="S382">
        <v>13368</v>
      </c>
      <c r="T382">
        <v>367798.24</v>
      </c>
    </row>
    <row r="383" spans="1:20" x14ac:dyDescent="0.35">
      <c r="A383" t="s">
        <v>53</v>
      </c>
      <c r="B383" t="s">
        <v>47</v>
      </c>
      <c r="C383" t="s">
        <v>22</v>
      </c>
      <c r="D383" t="s">
        <v>290</v>
      </c>
      <c r="E383" t="s">
        <v>24</v>
      </c>
      <c r="F383" t="s">
        <v>142</v>
      </c>
      <c r="G383" t="s">
        <v>108</v>
      </c>
      <c r="H383" s="1">
        <v>44274</v>
      </c>
      <c r="I383" t="s">
        <v>109</v>
      </c>
      <c r="J383" t="s">
        <v>36</v>
      </c>
      <c r="K383">
        <v>2021</v>
      </c>
      <c r="L383">
        <v>401</v>
      </c>
      <c r="M383">
        <v>6</v>
      </c>
      <c r="N383">
        <v>450</v>
      </c>
      <c r="O383">
        <v>180450</v>
      </c>
      <c r="P383">
        <v>16240.5</v>
      </c>
      <c r="Q383">
        <v>164209.5</v>
      </c>
      <c r="R383">
        <v>91.182000000000002</v>
      </c>
      <c r="S383">
        <v>2406</v>
      </c>
      <c r="T383">
        <v>161803.5</v>
      </c>
    </row>
    <row r="384" spans="1:20" x14ac:dyDescent="0.35">
      <c r="A384" t="s">
        <v>79</v>
      </c>
      <c r="B384" t="s">
        <v>42</v>
      </c>
      <c r="C384" t="s">
        <v>31</v>
      </c>
      <c r="D384" t="s">
        <v>145</v>
      </c>
      <c r="E384" t="s">
        <v>33</v>
      </c>
      <c r="F384" t="s">
        <v>146</v>
      </c>
      <c r="G384" t="s">
        <v>108</v>
      </c>
      <c r="H384" s="1">
        <v>44372</v>
      </c>
      <c r="I384" t="s">
        <v>144</v>
      </c>
      <c r="J384" t="s">
        <v>78</v>
      </c>
      <c r="K384">
        <v>2021</v>
      </c>
      <c r="L384">
        <v>440</v>
      </c>
      <c r="M384">
        <v>12</v>
      </c>
      <c r="N384">
        <v>18</v>
      </c>
      <c r="O384">
        <v>7920</v>
      </c>
      <c r="P384">
        <v>712.8</v>
      </c>
      <c r="Q384">
        <v>7207.2</v>
      </c>
      <c r="R384">
        <v>4.0076400000000003</v>
      </c>
      <c r="S384">
        <v>5280</v>
      </c>
      <c r="T384">
        <v>1927.1999999999998</v>
      </c>
    </row>
    <row r="385" spans="1:20" x14ac:dyDescent="0.35">
      <c r="A385" t="s">
        <v>79</v>
      </c>
      <c r="B385" t="s">
        <v>84</v>
      </c>
      <c r="C385" t="s">
        <v>31</v>
      </c>
      <c r="D385" t="s">
        <v>197</v>
      </c>
      <c r="E385" t="s">
        <v>33</v>
      </c>
      <c r="F385" t="s">
        <v>198</v>
      </c>
      <c r="G385" t="s">
        <v>108</v>
      </c>
      <c r="H385" s="1">
        <v>44264</v>
      </c>
      <c r="I385" t="s">
        <v>109</v>
      </c>
      <c r="J385" t="s">
        <v>36</v>
      </c>
      <c r="K385">
        <v>2021</v>
      </c>
      <c r="L385">
        <v>2130</v>
      </c>
      <c r="M385">
        <v>12</v>
      </c>
      <c r="N385">
        <v>18</v>
      </c>
      <c r="O385">
        <v>38340</v>
      </c>
      <c r="P385">
        <v>3450.6</v>
      </c>
      <c r="Q385">
        <v>34889.4</v>
      </c>
      <c r="R385">
        <v>19.382999999999999</v>
      </c>
      <c r="S385">
        <v>25560</v>
      </c>
      <c r="T385">
        <v>9329.4000000000015</v>
      </c>
    </row>
    <row r="386" spans="1:20" x14ac:dyDescent="0.35">
      <c r="A386" t="s">
        <v>29</v>
      </c>
      <c r="B386" t="s">
        <v>30</v>
      </c>
      <c r="C386" t="s">
        <v>102</v>
      </c>
      <c r="D386" t="s">
        <v>291</v>
      </c>
      <c r="E386" t="s">
        <v>104</v>
      </c>
      <c r="F386" t="s">
        <v>292</v>
      </c>
      <c r="G386" t="s">
        <v>108</v>
      </c>
      <c r="H386" s="1">
        <v>44424</v>
      </c>
      <c r="I386" t="s">
        <v>41</v>
      </c>
      <c r="J386" t="s">
        <v>28</v>
      </c>
      <c r="K386">
        <v>2021</v>
      </c>
      <c r="L386">
        <v>1164</v>
      </c>
      <c r="M386">
        <v>320</v>
      </c>
      <c r="N386">
        <v>23</v>
      </c>
      <c r="O386">
        <v>26772</v>
      </c>
      <c r="P386">
        <v>2409.48</v>
      </c>
      <c r="Q386">
        <v>24362.52</v>
      </c>
      <c r="R386">
        <v>13.240500000000001</v>
      </c>
      <c r="S386">
        <v>372480</v>
      </c>
      <c r="T386">
        <v>-348117.48</v>
      </c>
    </row>
    <row r="387" spans="1:20" x14ac:dyDescent="0.35">
      <c r="A387" t="s">
        <v>37</v>
      </c>
      <c r="B387" t="s">
        <v>47</v>
      </c>
      <c r="C387" t="s">
        <v>48</v>
      </c>
      <c r="D387" t="s">
        <v>49</v>
      </c>
      <c r="E387" t="s">
        <v>50</v>
      </c>
      <c r="F387" t="s">
        <v>51</v>
      </c>
      <c r="G387" t="s">
        <v>108</v>
      </c>
      <c r="H387" s="1">
        <v>44216</v>
      </c>
      <c r="I387" t="s">
        <v>35</v>
      </c>
      <c r="J387" t="s">
        <v>36</v>
      </c>
      <c r="K387">
        <v>2021</v>
      </c>
      <c r="L387">
        <v>3218</v>
      </c>
      <c r="M387">
        <v>308</v>
      </c>
      <c r="N387">
        <v>30</v>
      </c>
      <c r="O387">
        <v>96540</v>
      </c>
      <c r="P387">
        <v>8688.6</v>
      </c>
      <c r="Q387">
        <v>87851.4</v>
      </c>
      <c r="R387">
        <v>48.812400000000004</v>
      </c>
      <c r="S387">
        <v>991144</v>
      </c>
      <c r="T387">
        <v>-903292.6</v>
      </c>
    </row>
    <row r="388" spans="1:20" x14ac:dyDescent="0.35">
      <c r="A388" t="s">
        <v>79</v>
      </c>
      <c r="B388" t="s">
        <v>38</v>
      </c>
      <c r="C388" t="s">
        <v>55</v>
      </c>
      <c r="D388" t="s">
        <v>293</v>
      </c>
      <c r="E388" t="s">
        <v>57</v>
      </c>
      <c r="F388" t="s">
        <v>240</v>
      </c>
      <c r="G388" t="s">
        <v>157</v>
      </c>
      <c r="H388" s="1">
        <v>44429</v>
      </c>
      <c r="I388" t="s">
        <v>41</v>
      </c>
      <c r="J388" t="s">
        <v>28</v>
      </c>
      <c r="K388">
        <v>2021</v>
      </c>
      <c r="L388">
        <v>463</v>
      </c>
      <c r="M388">
        <v>4</v>
      </c>
      <c r="N388">
        <v>18</v>
      </c>
      <c r="O388">
        <v>8334</v>
      </c>
      <c r="P388">
        <v>833.4</v>
      </c>
      <c r="Q388">
        <v>7500.6</v>
      </c>
      <c r="R388">
        <v>4.1688000000000001</v>
      </c>
      <c r="S388">
        <v>1852</v>
      </c>
      <c r="T388">
        <v>5648.6</v>
      </c>
    </row>
    <row r="389" spans="1:20" x14ac:dyDescent="0.35">
      <c r="A389" t="s">
        <v>79</v>
      </c>
      <c r="B389" t="s">
        <v>65</v>
      </c>
      <c r="C389" t="s">
        <v>31</v>
      </c>
      <c r="D389" t="s">
        <v>218</v>
      </c>
      <c r="E389" t="s">
        <v>33</v>
      </c>
      <c r="F389" t="s">
        <v>219</v>
      </c>
      <c r="G389" t="s">
        <v>157</v>
      </c>
      <c r="H389" s="1">
        <v>44209</v>
      </c>
      <c r="I389" t="s">
        <v>35</v>
      </c>
      <c r="J389" t="s">
        <v>36</v>
      </c>
      <c r="K389">
        <v>2021</v>
      </c>
      <c r="L389">
        <v>463</v>
      </c>
      <c r="M389">
        <v>12</v>
      </c>
      <c r="N389">
        <v>18</v>
      </c>
      <c r="O389">
        <v>8334</v>
      </c>
      <c r="P389">
        <v>833.4</v>
      </c>
      <c r="Q389">
        <v>7500.6</v>
      </c>
      <c r="R389">
        <v>4.1688000000000001</v>
      </c>
      <c r="S389">
        <v>5556</v>
      </c>
      <c r="T389">
        <v>1944.6000000000004</v>
      </c>
    </row>
    <row r="390" spans="1:20" x14ac:dyDescent="0.35">
      <c r="A390" t="s">
        <v>20</v>
      </c>
      <c r="B390" t="s">
        <v>65</v>
      </c>
      <c r="C390" t="s">
        <v>55</v>
      </c>
      <c r="D390" t="s">
        <v>175</v>
      </c>
      <c r="E390" t="s">
        <v>57</v>
      </c>
      <c r="F390" t="s">
        <v>176</v>
      </c>
      <c r="G390" t="s">
        <v>157</v>
      </c>
      <c r="H390" s="1">
        <v>44314</v>
      </c>
      <c r="I390" t="s">
        <v>112</v>
      </c>
      <c r="J390" t="s">
        <v>78</v>
      </c>
      <c r="K390">
        <v>2021</v>
      </c>
      <c r="L390">
        <v>1778</v>
      </c>
      <c r="M390">
        <v>4</v>
      </c>
      <c r="N390">
        <v>188</v>
      </c>
      <c r="O390">
        <v>334264</v>
      </c>
      <c r="P390">
        <v>33426.400000000001</v>
      </c>
      <c r="Q390">
        <v>300837.59999999998</v>
      </c>
      <c r="R390">
        <v>166.72499999999999</v>
      </c>
      <c r="S390">
        <v>7112</v>
      </c>
      <c r="T390">
        <v>293725.59999999998</v>
      </c>
    </row>
    <row r="391" spans="1:20" x14ac:dyDescent="0.35">
      <c r="A391" t="s">
        <v>20</v>
      </c>
      <c r="B391" t="s">
        <v>65</v>
      </c>
      <c r="C391" t="s">
        <v>22</v>
      </c>
      <c r="D391" t="s">
        <v>66</v>
      </c>
      <c r="E391" t="s">
        <v>24</v>
      </c>
      <c r="F391" t="s">
        <v>67</v>
      </c>
      <c r="G391" t="s">
        <v>157</v>
      </c>
      <c r="H391" s="1">
        <v>44307</v>
      </c>
      <c r="I391" t="s">
        <v>112</v>
      </c>
      <c r="J391" t="s">
        <v>78</v>
      </c>
      <c r="K391">
        <v>2021</v>
      </c>
      <c r="L391">
        <v>2165</v>
      </c>
      <c r="M391">
        <v>6</v>
      </c>
      <c r="N391">
        <v>188</v>
      </c>
      <c r="O391">
        <v>407020</v>
      </c>
      <c r="P391">
        <v>40702</v>
      </c>
      <c r="Q391">
        <v>366318</v>
      </c>
      <c r="R391">
        <v>202.95</v>
      </c>
      <c r="S391">
        <v>12990</v>
      </c>
      <c r="T391">
        <v>353328</v>
      </c>
    </row>
    <row r="392" spans="1:20" x14ac:dyDescent="0.35">
      <c r="A392" t="s">
        <v>53</v>
      </c>
      <c r="B392" t="s">
        <v>84</v>
      </c>
      <c r="C392" t="s">
        <v>43</v>
      </c>
      <c r="D392" t="s">
        <v>256</v>
      </c>
      <c r="E392" t="s">
        <v>45</v>
      </c>
      <c r="F392" t="s">
        <v>114</v>
      </c>
      <c r="G392" t="s">
        <v>157</v>
      </c>
      <c r="H392" s="1">
        <v>44297</v>
      </c>
      <c r="I392" t="s">
        <v>112</v>
      </c>
      <c r="J392" t="s">
        <v>78</v>
      </c>
      <c r="K392">
        <v>2021</v>
      </c>
      <c r="L392">
        <v>2753</v>
      </c>
      <c r="M392">
        <v>148</v>
      </c>
      <c r="N392">
        <v>450</v>
      </c>
      <c r="O392">
        <v>1238850</v>
      </c>
      <c r="P392">
        <v>123885</v>
      </c>
      <c r="Q392">
        <v>1114965</v>
      </c>
      <c r="R392">
        <v>619.38</v>
      </c>
      <c r="S392">
        <v>407444</v>
      </c>
      <c r="T392">
        <v>707521</v>
      </c>
    </row>
    <row r="393" spans="1:20" x14ac:dyDescent="0.35">
      <c r="A393" t="s">
        <v>53</v>
      </c>
      <c r="B393" t="s">
        <v>54</v>
      </c>
      <c r="C393" t="s">
        <v>48</v>
      </c>
      <c r="D393" t="s">
        <v>267</v>
      </c>
      <c r="E393" t="s">
        <v>50</v>
      </c>
      <c r="F393" t="s">
        <v>215</v>
      </c>
      <c r="G393" t="s">
        <v>157</v>
      </c>
      <c r="H393" s="1">
        <v>44365</v>
      </c>
      <c r="I393" t="s">
        <v>144</v>
      </c>
      <c r="J393" t="s">
        <v>78</v>
      </c>
      <c r="K393">
        <v>2021</v>
      </c>
      <c r="L393">
        <v>2753</v>
      </c>
      <c r="M393">
        <v>308</v>
      </c>
      <c r="N393">
        <v>450</v>
      </c>
      <c r="O393">
        <v>1238850</v>
      </c>
      <c r="P393">
        <v>123885</v>
      </c>
      <c r="Q393">
        <v>1114965</v>
      </c>
      <c r="R393">
        <v>619.38</v>
      </c>
      <c r="S393">
        <v>847924</v>
      </c>
      <c r="T393">
        <v>267041</v>
      </c>
    </row>
    <row r="394" spans="1:20" x14ac:dyDescent="0.35">
      <c r="A394" t="s">
        <v>29</v>
      </c>
      <c r="B394" t="s">
        <v>42</v>
      </c>
      <c r="C394" t="s">
        <v>48</v>
      </c>
      <c r="D394" t="s">
        <v>202</v>
      </c>
      <c r="E394" t="s">
        <v>50</v>
      </c>
      <c r="F394" t="s">
        <v>116</v>
      </c>
      <c r="G394" t="s">
        <v>157</v>
      </c>
      <c r="H394" s="1">
        <v>44419</v>
      </c>
      <c r="I394" t="s">
        <v>41</v>
      </c>
      <c r="J394" t="s">
        <v>28</v>
      </c>
      <c r="K394">
        <v>2021</v>
      </c>
      <c r="L394">
        <v>2600</v>
      </c>
      <c r="M394">
        <v>308</v>
      </c>
      <c r="N394">
        <v>23</v>
      </c>
      <c r="O394">
        <v>59800</v>
      </c>
      <c r="P394">
        <v>5980</v>
      </c>
      <c r="Q394">
        <v>53820</v>
      </c>
      <c r="R394">
        <v>29.2545</v>
      </c>
      <c r="S394">
        <v>800800</v>
      </c>
      <c r="T394">
        <v>-746980</v>
      </c>
    </row>
    <row r="395" spans="1:20" x14ac:dyDescent="0.35">
      <c r="A395" t="s">
        <v>37</v>
      </c>
      <c r="B395" t="s">
        <v>47</v>
      </c>
      <c r="C395" t="s">
        <v>48</v>
      </c>
      <c r="D395" t="s">
        <v>123</v>
      </c>
      <c r="E395" t="s">
        <v>50</v>
      </c>
      <c r="F395" t="s">
        <v>124</v>
      </c>
      <c r="G395" t="s">
        <v>157</v>
      </c>
      <c r="H395" s="1">
        <v>44400</v>
      </c>
      <c r="I395" t="s">
        <v>89</v>
      </c>
      <c r="J395" t="s">
        <v>28</v>
      </c>
      <c r="K395">
        <v>2021</v>
      </c>
      <c r="L395">
        <v>2244</v>
      </c>
      <c r="M395">
        <v>308</v>
      </c>
      <c r="N395">
        <v>525</v>
      </c>
      <c r="O395">
        <v>1178100</v>
      </c>
      <c r="P395">
        <v>117810</v>
      </c>
      <c r="Q395">
        <v>1060290</v>
      </c>
      <c r="R395">
        <v>589.04999999999995</v>
      </c>
      <c r="S395">
        <v>691152</v>
      </c>
      <c r="T395">
        <v>369138</v>
      </c>
    </row>
    <row r="396" spans="1:20" x14ac:dyDescent="0.35">
      <c r="A396" t="s">
        <v>79</v>
      </c>
      <c r="B396" t="s">
        <v>47</v>
      </c>
      <c r="C396" t="s">
        <v>55</v>
      </c>
      <c r="D396" t="s">
        <v>294</v>
      </c>
      <c r="E396" t="s">
        <v>57</v>
      </c>
      <c r="F396" t="s">
        <v>195</v>
      </c>
      <c r="G396" t="s">
        <v>157</v>
      </c>
      <c r="H396" s="1">
        <v>44307</v>
      </c>
      <c r="I396" t="s">
        <v>112</v>
      </c>
      <c r="J396" t="s">
        <v>78</v>
      </c>
      <c r="K396">
        <v>2021</v>
      </c>
      <c r="L396">
        <v>1438</v>
      </c>
      <c r="M396">
        <v>4</v>
      </c>
      <c r="N396">
        <v>18</v>
      </c>
      <c r="O396">
        <v>25884</v>
      </c>
      <c r="P396">
        <v>2847.24</v>
      </c>
      <c r="Q396">
        <v>23036.760000000002</v>
      </c>
      <c r="R396">
        <v>12.794639999999999</v>
      </c>
      <c r="S396">
        <v>5752</v>
      </c>
      <c r="T396">
        <v>17284.760000000002</v>
      </c>
    </row>
    <row r="397" spans="1:20" x14ac:dyDescent="0.35">
      <c r="A397" t="s">
        <v>79</v>
      </c>
      <c r="B397" t="s">
        <v>21</v>
      </c>
      <c r="C397" t="s">
        <v>31</v>
      </c>
      <c r="D397" t="s">
        <v>80</v>
      </c>
      <c r="E397" t="s">
        <v>33</v>
      </c>
      <c r="F397" t="s">
        <v>81</v>
      </c>
      <c r="G397" t="s">
        <v>157</v>
      </c>
      <c r="H397" s="1">
        <v>44312</v>
      </c>
      <c r="I397" t="s">
        <v>112</v>
      </c>
      <c r="J397" t="s">
        <v>78</v>
      </c>
      <c r="K397">
        <v>2021</v>
      </c>
      <c r="L397">
        <v>1438</v>
      </c>
      <c r="M397">
        <v>12</v>
      </c>
      <c r="N397">
        <v>18</v>
      </c>
      <c r="O397">
        <v>25884</v>
      </c>
      <c r="P397">
        <v>2847.24</v>
      </c>
      <c r="Q397">
        <v>23036.760000000002</v>
      </c>
      <c r="R397">
        <v>12.794639999999999</v>
      </c>
      <c r="S397">
        <v>17256</v>
      </c>
      <c r="T397">
        <v>5780.760000000002</v>
      </c>
    </row>
    <row r="398" spans="1:20" x14ac:dyDescent="0.35">
      <c r="A398" t="s">
        <v>37</v>
      </c>
      <c r="B398" t="s">
        <v>30</v>
      </c>
      <c r="C398" t="s">
        <v>55</v>
      </c>
      <c r="D398" t="s">
        <v>206</v>
      </c>
      <c r="E398" t="s">
        <v>57</v>
      </c>
      <c r="F398" t="s">
        <v>207</v>
      </c>
      <c r="G398" t="s">
        <v>157</v>
      </c>
      <c r="H398" s="1">
        <v>44280</v>
      </c>
      <c r="I398" t="s">
        <v>109</v>
      </c>
      <c r="J398" t="s">
        <v>36</v>
      </c>
      <c r="K398">
        <v>2021</v>
      </c>
      <c r="L398">
        <v>3247</v>
      </c>
      <c r="M398">
        <v>4</v>
      </c>
      <c r="N398">
        <v>11</v>
      </c>
      <c r="O398">
        <v>35717</v>
      </c>
      <c r="P398">
        <v>3928.87</v>
      </c>
      <c r="Q398">
        <v>31788.13</v>
      </c>
      <c r="R398">
        <v>16.85838</v>
      </c>
      <c r="S398">
        <v>12988</v>
      </c>
      <c r="T398">
        <v>18800.13</v>
      </c>
    </row>
    <row r="399" spans="1:20" x14ac:dyDescent="0.35">
      <c r="A399" t="s">
        <v>37</v>
      </c>
      <c r="B399" t="s">
        <v>47</v>
      </c>
      <c r="C399" t="s">
        <v>31</v>
      </c>
      <c r="D399" t="s">
        <v>149</v>
      </c>
      <c r="E399" t="s">
        <v>33</v>
      </c>
      <c r="F399" t="s">
        <v>150</v>
      </c>
      <c r="G399" t="s">
        <v>157</v>
      </c>
      <c r="H399" s="1">
        <v>44301</v>
      </c>
      <c r="I399" t="s">
        <v>112</v>
      </c>
      <c r="J399" t="s">
        <v>78</v>
      </c>
      <c r="K399">
        <v>2021</v>
      </c>
      <c r="L399">
        <v>3590</v>
      </c>
      <c r="M399">
        <v>12</v>
      </c>
      <c r="N399">
        <v>30</v>
      </c>
      <c r="O399">
        <v>107700</v>
      </c>
      <c r="P399">
        <v>11847</v>
      </c>
      <c r="Q399">
        <v>95853</v>
      </c>
      <c r="R399">
        <v>53.257599999999996</v>
      </c>
      <c r="S399">
        <v>43080</v>
      </c>
      <c r="T399">
        <v>52773</v>
      </c>
    </row>
    <row r="400" spans="1:20" x14ac:dyDescent="0.35">
      <c r="A400" t="s">
        <v>37</v>
      </c>
      <c r="B400" t="s">
        <v>42</v>
      </c>
      <c r="C400" t="s">
        <v>43</v>
      </c>
      <c r="D400" t="s">
        <v>87</v>
      </c>
      <c r="E400" t="s">
        <v>45</v>
      </c>
      <c r="F400" t="s">
        <v>88</v>
      </c>
      <c r="G400" t="s">
        <v>157</v>
      </c>
      <c r="H400" s="1">
        <v>44289</v>
      </c>
      <c r="I400" t="s">
        <v>112</v>
      </c>
      <c r="J400" t="s">
        <v>78</v>
      </c>
      <c r="K400">
        <v>2021</v>
      </c>
      <c r="L400">
        <v>413</v>
      </c>
      <c r="M400">
        <v>148</v>
      </c>
      <c r="N400">
        <v>525</v>
      </c>
      <c r="O400">
        <v>216825</v>
      </c>
      <c r="P400">
        <v>23850.75</v>
      </c>
      <c r="Q400">
        <v>192974.25</v>
      </c>
      <c r="R400">
        <v>107.15600000000001</v>
      </c>
      <c r="S400">
        <v>61124</v>
      </c>
      <c r="T400">
        <v>131850.25</v>
      </c>
    </row>
    <row r="401" spans="1:20" x14ac:dyDescent="0.35">
      <c r="A401" t="s">
        <v>37</v>
      </c>
      <c r="B401" t="s">
        <v>42</v>
      </c>
      <c r="C401" t="s">
        <v>48</v>
      </c>
      <c r="D401" t="s">
        <v>121</v>
      </c>
      <c r="E401" t="s">
        <v>50</v>
      </c>
      <c r="F401" t="s">
        <v>122</v>
      </c>
      <c r="G401" t="s">
        <v>157</v>
      </c>
      <c r="H401" s="1">
        <v>44264</v>
      </c>
      <c r="I401" t="s">
        <v>109</v>
      </c>
      <c r="J401" t="s">
        <v>36</v>
      </c>
      <c r="K401">
        <v>2021</v>
      </c>
      <c r="L401">
        <v>3522</v>
      </c>
      <c r="M401">
        <v>308</v>
      </c>
      <c r="N401">
        <v>30</v>
      </c>
      <c r="O401">
        <v>105660</v>
      </c>
      <c r="P401">
        <v>11622.6</v>
      </c>
      <c r="Q401">
        <v>94037.4</v>
      </c>
      <c r="R401">
        <v>52.243000000000002</v>
      </c>
      <c r="S401">
        <v>1084776</v>
      </c>
      <c r="T401">
        <v>-990738.6</v>
      </c>
    </row>
    <row r="402" spans="1:20" x14ac:dyDescent="0.35">
      <c r="A402" t="s">
        <v>37</v>
      </c>
      <c r="B402" t="s">
        <v>54</v>
      </c>
      <c r="C402" t="s">
        <v>31</v>
      </c>
      <c r="D402" t="s">
        <v>183</v>
      </c>
      <c r="E402" t="s">
        <v>33</v>
      </c>
      <c r="F402" t="s">
        <v>184</v>
      </c>
      <c r="G402" t="s">
        <v>157</v>
      </c>
      <c r="H402" s="1">
        <v>44316</v>
      </c>
      <c r="I402" t="s">
        <v>112</v>
      </c>
      <c r="J402" t="s">
        <v>78</v>
      </c>
      <c r="K402">
        <v>2021</v>
      </c>
      <c r="L402">
        <v>456</v>
      </c>
      <c r="M402">
        <v>12</v>
      </c>
      <c r="N402">
        <v>11</v>
      </c>
      <c r="O402">
        <v>5016</v>
      </c>
      <c r="P402">
        <v>551.7600000000001</v>
      </c>
      <c r="Q402">
        <v>4464.24</v>
      </c>
      <c r="R402">
        <v>2.3673999999999999</v>
      </c>
      <c r="S402">
        <v>5472</v>
      </c>
      <c r="T402">
        <v>-1007.7600000000002</v>
      </c>
    </row>
    <row r="403" spans="1:20" x14ac:dyDescent="0.35">
      <c r="A403" t="s">
        <v>53</v>
      </c>
      <c r="B403" t="s">
        <v>84</v>
      </c>
      <c r="C403" t="s">
        <v>22</v>
      </c>
      <c r="D403" t="s">
        <v>151</v>
      </c>
      <c r="E403" t="s">
        <v>24</v>
      </c>
      <c r="F403" t="s">
        <v>152</v>
      </c>
      <c r="G403" t="s">
        <v>157</v>
      </c>
      <c r="H403" s="1">
        <v>44394</v>
      </c>
      <c r="I403" t="s">
        <v>89</v>
      </c>
      <c r="J403" t="s">
        <v>28</v>
      </c>
      <c r="K403">
        <v>2021</v>
      </c>
      <c r="L403">
        <v>1423</v>
      </c>
      <c r="M403">
        <v>6</v>
      </c>
      <c r="N403">
        <v>450</v>
      </c>
      <c r="O403">
        <v>640350</v>
      </c>
      <c r="P403">
        <v>76842</v>
      </c>
      <c r="Q403">
        <v>563508</v>
      </c>
      <c r="R403">
        <v>313.10399999999998</v>
      </c>
      <c r="S403">
        <v>8538</v>
      </c>
      <c r="T403">
        <v>554970</v>
      </c>
    </row>
    <row r="404" spans="1:20" x14ac:dyDescent="0.35">
      <c r="A404" t="s">
        <v>29</v>
      </c>
      <c r="B404" t="s">
        <v>38</v>
      </c>
      <c r="C404" t="s">
        <v>31</v>
      </c>
      <c r="D404" t="s">
        <v>199</v>
      </c>
      <c r="E404" t="s">
        <v>33</v>
      </c>
      <c r="F404" t="s">
        <v>200</v>
      </c>
      <c r="G404" t="s">
        <v>157</v>
      </c>
      <c r="H404" s="1">
        <v>44333</v>
      </c>
      <c r="I404" t="s">
        <v>77</v>
      </c>
      <c r="J404" t="s">
        <v>78</v>
      </c>
      <c r="K404">
        <v>2021</v>
      </c>
      <c r="L404">
        <v>456</v>
      </c>
      <c r="M404">
        <v>12</v>
      </c>
      <c r="N404">
        <v>23</v>
      </c>
      <c r="O404">
        <v>10488</v>
      </c>
      <c r="P404">
        <v>1258.56</v>
      </c>
      <c r="Q404">
        <v>9229.44</v>
      </c>
      <c r="R404">
        <v>5.016</v>
      </c>
      <c r="S404">
        <v>5472</v>
      </c>
      <c r="T404">
        <v>3757.4400000000005</v>
      </c>
    </row>
    <row r="405" spans="1:20" x14ac:dyDescent="0.35">
      <c r="A405" t="s">
        <v>29</v>
      </c>
      <c r="B405" t="s">
        <v>47</v>
      </c>
      <c r="C405" t="s">
        <v>43</v>
      </c>
      <c r="D405" t="s">
        <v>271</v>
      </c>
      <c r="E405" t="s">
        <v>45</v>
      </c>
      <c r="F405" t="s">
        <v>272</v>
      </c>
      <c r="G405" t="s">
        <v>157</v>
      </c>
      <c r="H405" s="1">
        <v>44381</v>
      </c>
      <c r="I405" t="s">
        <v>89</v>
      </c>
      <c r="J405" t="s">
        <v>28</v>
      </c>
      <c r="K405">
        <v>2021</v>
      </c>
      <c r="L405">
        <v>792</v>
      </c>
      <c r="M405">
        <v>148</v>
      </c>
      <c r="N405">
        <v>23</v>
      </c>
      <c r="O405">
        <v>18216</v>
      </c>
      <c r="P405">
        <v>2368.08</v>
      </c>
      <c r="Q405">
        <v>15847.92</v>
      </c>
      <c r="R405">
        <v>8.6129999999999995</v>
      </c>
      <c r="S405">
        <v>117216</v>
      </c>
      <c r="T405">
        <v>-101368.08</v>
      </c>
    </row>
    <row r="406" spans="1:20" x14ac:dyDescent="0.35">
      <c r="A406" t="s">
        <v>53</v>
      </c>
      <c r="B406" t="s">
        <v>21</v>
      </c>
      <c r="C406" t="s">
        <v>43</v>
      </c>
      <c r="D406" t="s">
        <v>264</v>
      </c>
      <c r="E406" t="s">
        <v>45</v>
      </c>
      <c r="F406" t="s">
        <v>265</v>
      </c>
      <c r="G406" t="s">
        <v>157</v>
      </c>
      <c r="H406" s="1">
        <v>44429</v>
      </c>
      <c r="I406" t="s">
        <v>41</v>
      </c>
      <c r="J406" t="s">
        <v>28</v>
      </c>
      <c r="K406">
        <v>2021</v>
      </c>
      <c r="L406">
        <v>3126</v>
      </c>
      <c r="M406">
        <v>148</v>
      </c>
      <c r="N406">
        <v>450</v>
      </c>
      <c r="O406">
        <v>1406700</v>
      </c>
      <c r="P406">
        <v>182871</v>
      </c>
      <c r="Q406">
        <v>1223829</v>
      </c>
      <c r="R406">
        <v>679.90499999999997</v>
      </c>
      <c r="S406">
        <v>462648</v>
      </c>
      <c r="T406">
        <v>761181</v>
      </c>
    </row>
    <row r="407" spans="1:20" x14ac:dyDescent="0.35">
      <c r="A407" t="s">
        <v>37</v>
      </c>
      <c r="B407" t="s">
        <v>54</v>
      </c>
      <c r="C407" t="s">
        <v>22</v>
      </c>
      <c r="D407" t="s">
        <v>214</v>
      </c>
      <c r="E407" t="s">
        <v>24</v>
      </c>
      <c r="F407" t="s">
        <v>215</v>
      </c>
      <c r="G407" t="s">
        <v>157</v>
      </c>
      <c r="H407" s="1">
        <v>44261</v>
      </c>
      <c r="I407" t="s">
        <v>109</v>
      </c>
      <c r="J407" t="s">
        <v>36</v>
      </c>
      <c r="K407">
        <v>2021</v>
      </c>
      <c r="L407">
        <v>3595</v>
      </c>
      <c r="M407">
        <v>6</v>
      </c>
      <c r="N407">
        <v>11</v>
      </c>
      <c r="O407">
        <v>39545</v>
      </c>
      <c r="P407">
        <v>5536.2999999999993</v>
      </c>
      <c r="Q407">
        <v>34008.699999999997</v>
      </c>
      <c r="R407">
        <v>18.035919999999997</v>
      </c>
      <c r="S407">
        <v>21570</v>
      </c>
      <c r="T407">
        <v>12438.699999999997</v>
      </c>
    </row>
    <row r="408" spans="1:20" x14ac:dyDescent="0.35">
      <c r="A408" t="s">
        <v>79</v>
      </c>
      <c r="B408" t="s">
        <v>30</v>
      </c>
      <c r="C408" t="s">
        <v>102</v>
      </c>
      <c r="D408" t="s">
        <v>204</v>
      </c>
      <c r="E408" t="s">
        <v>104</v>
      </c>
      <c r="F408" t="s">
        <v>205</v>
      </c>
      <c r="G408" t="s">
        <v>157</v>
      </c>
      <c r="H408" s="1">
        <v>44415</v>
      </c>
      <c r="I408" t="s">
        <v>41</v>
      </c>
      <c r="J408" t="s">
        <v>28</v>
      </c>
      <c r="K408">
        <v>2021</v>
      </c>
      <c r="L408">
        <v>2418</v>
      </c>
      <c r="M408">
        <v>320</v>
      </c>
      <c r="N408">
        <v>18</v>
      </c>
      <c r="O408">
        <v>43524</v>
      </c>
      <c r="P408">
        <v>6093.36</v>
      </c>
      <c r="Q408">
        <v>37430.639999999999</v>
      </c>
      <c r="R408">
        <v>20.794799999999999</v>
      </c>
      <c r="S408">
        <v>773760</v>
      </c>
      <c r="T408">
        <v>-736329.36</v>
      </c>
    </row>
    <row r="409" spans="1:20" x14ac:dyDescent="0.35">
      <c r="A409" t="s">
        <v>20</v>
      </c>
      <c r="B409" t="s">
        <v>38</v>
      </c>
      <c r="C409" t="s">
        <v>55</v>
      </c>
      <c r="D409" t="s">
        <v>259</v>
      </c>
      <c r="E409" t="s">
        <v>57</v>
      </c>
      <c r="F409" t="s">
        <v>260</v>
      </c>
      <c r="G409" t="s">
        <v>157</v>
      </c>
      <c r="H409" s="1">
        <v>44385</v>
      </c>
      <c r="I409" t="s">
        <v>89</v>
      </c>
      <c r="J409" t="s">
        <v>28</v>
      </c>
      <c r="K409">
        <v>2021</v>
      </c>
      <c r="L409">
        <v>3385</v>
      </c>
      <c r="M409">
        <v>4</v>
      </c>
      <c r="N409">
        <v>188</v>
      </c>
      <c r="O409">
        <v>636380</v>
      </c>
      <c r="P409">
        <v>89093.200000000012</v>
      </c>
      <c r="Q409">
        <v>547286.80000000005</v>
      </c>
      <c r="R409">
        <v>303.25749999999999</v>
      </c>
      <c r="S409">
        <v>13540</v>
      </c>
      <c r="T409">
        <v>533746.80000000005</v>
      </c>
    </row>
    <row r="410" spans="1:20" x14ac:dyDescent="0.35">
      <c r="A410" t="s">
        <v>29</v>
      </c>
      <c r="B410" t="s">
        <v>84</v>
      </c>
      <c r="C410" t="s">
        <v>31</v>
      </c>
      <c r="D410" t="s">
        <v>177</v>
      </c>
      <c r="E410" t="s">
        <v>33</v>
      </c>
      <c r="F410" t="s">
        <v>178</v>
      </c>
      <c r="G410" t="s">
        <v>157</v>
      </c>
      <c r="H410" s="1">
        <v>44308</v>
      </c>
      <c r="I410" t="s">
        <v>112</v>
      </c>
      <c r="J410" t="s">
        <v>78</v>
      </c>
      <c r="K410">
        <v>2021</v>
      </c>
      <c r="L410">
        <v>2092</v>
      </c>
      <c r="M410">
        <v>12</v>
      </c>
      <c r="N410">
        <v>23</v>
      </c>
      <c r="O410">
        <v>48116</v>
      </c>
      <c r="P410">
        <v>6736.2400000000007</v>
      </c>
      <c r="Q410">
        <v>41379.760000000002</v>
      </c>
      <c r="R410">
        <v>22.4847</v>
      </c>
      <c r="S410">
        <v>25104</v>
      </c>
      <c r="T410">
        <v>16275.760000000002</v>
      </c>
    </row>
    <row r="411" spans="1:20" x14ac:dyDescent="0.35">
      <c r="A411" t="s">
        <v>37</v>
      </c>
      <c r="B411" t="s">
        <v>38</v>
      </c>
      <c r="C411" t="s">
        <v>31</v>
      </c>
      <c r="D411" t="s">
        <v>117</v>
      </c>
      <c r="E411" t="s">
        <v>33</v>
      </c>
      <c r="F411" t="s">
        <v>118</v>
      </c>
      <c r="G411" t="s">
        <v>157</v>
      </c>
      <c r="H411" s="1">
        <v>44366</v>
      </c>
      <c r="I411" t="s">
        <v>144</v>
      </c>
      <c r="J411" t="s">
        <v>78</v>
      </c>
      <c r="K411">
        <v>2021</v>
      </c>
      <c r="L411">
        <v>2306</v>
      </c>
      <c r="M411">
        <v>12</v>
      </c>
      <c r="N411">
        <v>525</v>
      </c>
      <c r="O411">
        <v>1210650</v>
      </c>
      <c r="P411">
        <v>169491.00000000003</v>
      </c>
      <c r="Q411">
        <v>1041159</v>
      </c>
      <c r="R411">
        <v>578.52200000000005</v>
      </c>
      <c r="S411">
        <v>27672</v>
      </c>
      <c r="T411">
        <v>1013487</v>
      </c>
    </row>
    <row r="412" spans="1:20" x14ac:dyDescent="0.35">
      <c r="A412" t="s">
        <v>53</v>
      </c>
      <c r="B412" t="s">
        <v>65</v>
      </c>
      <c r="C412" t="s">
        <v>43</v>
      </c>
      <c r="D412" t="s">
        <v>295</v>
      </c>
      <c r="E412" t="s">
        <v>45</v>
      </c>
      <c r="F412" t="s">
        <v>120</v>
      </c>
      <c r="G412" t="s">
        <v>157</v>
      </c>
      <c r="H412" s="1">
        <v>44204</v>
      </c>
      <c r="I412" t="s">
        <v>35</v>
      </c>
      <c r="J412" t="s">
        <v>36</v>
      </c>
      <c r="K412">
        <v>2021</v>
      </c>
      <c r="L412">
        <v>323</v>
      </c>
      <c r="M412">
        <v>148</v>
      </c>
      <c r="N412">
        <v>450</v>
      </c>
      <c r="O412">
        <v>145350</v>
      </c>
      <c r="P412">
        <v>20349.000000000004</v>
      </c>
      <c r="Q412">
        <v>125001</v>
      </c>
      <c r="R412">
        <v>69.402000000000001</v>
      </c>
      <c r="S412">
        <v>47804</v>
      </c>
      <c r="T412">
        <v>77197</v>
      </c>
    </row>
    <row r="413" spans="1:20" x14ac:dyDescent="0.35">
      <c r="A413" t="s">
        <v>53</v>
      </c>
      <c r="B413" t="s">
        <v>84</v>
      </c>
      <c r="C413" t="s">
        <v>43</v>
      </c>
      <c r="D413" t="s">
        <v>296</v>
      </c>
      <c r="E413" t="s">
        <v>45</v>
      </c>
      <c r="F413" t="s">
        <v>281</v>
      </c>
      <c r="G413" t="s">
        <v>157</v>
      </c>
      <c r="H413" s="1">
        <v>44442</v>
      </c>
      <c r="I413" t="s">
        <v>27</v>
      </c>
      <c r="J413" t="s">
        <v>28</v>
      </c>
      <c r="K413">
        <v>2021</v>
      </c>
      <c r="L413">
        <v>3043</v>
      </c>
      <c r="M413">
        <v>148</v>
      </c>
      <c r="N413">
        <v>450</v>
      </c>
      <c r="O413">
        <v>1369350</v>
      </c>
      <c r="P413">
        <v>191709.00000000003</v>
      </c>
      <c r="Q413">
        <v>1177641</v>
      </c>
      <c r="R413">
        <v>654.28800000000001</v>
      </c>
      <c r="S413">
        <v>450364</v>
      </c>
      <c r="T413">
        <v>727277</v>
      </c>
    </row>
    <row r="414" spans="1:20" x14ac:dyDescent="0.35">
      <c r="A414" t="s">
        <v>37</v>
      </c>
      <c r="B414" t="s">
        <v>47</v>
      </c>
      <c r="C414" t="s">
        <v>48</v>
      </c>
      <c r="D414" t="s">
        <v>49</v>
      </c>
      <c r="E414" t="s">
        <v>50</v>
      </c>
      <c r="F414" t="s">
        <v>51</v>
      </c>
      <c r="G414" t="s">
        <v>157</v>
      </c>
      <c r="H414" s="1">
        <v>44215</v>
      </c>
      <c r="I414" t="s">
        <v>35</v>
      </c>
      <c r="J414" t="s">
        <v>36</v>
      </c>
      <c r="K414">
        <v>2021</v>
      </c>
      <c r="L414">
        <v>1537</v>
      </c>
      <c r="M414">
        <v>308</v>
      </c>
      <c r="N414">
        <v>525</v>
      </c>
      <c r="O414">
        <v>806925</v>
      </c>
      <c r="P414">
        <v>112969.50000000001</v>
      </c>
      <c r="Q414">
        <v>693955.5</v>
      </c>
      <c r="R414">
        <v>385.58100000000002</v>
      </c>
      <c r="S414">
        <v>473396</v>
      </c>
      <c r="T414">
        <v>220559.5</v>
      </c>
    </row>
    <row r="415" spans="1:20" x14ac:dyDescent="0.35">
      <c r="A415" t="s">
        <v>37</v>
      </c>
      <c r="B415" t="s">
        <v>54</v>
      </c>
      <c r="C415" t="s">
        <v>31</v>
      </c>
      <c r="D415" t="s">
        <v>183</v>
      </c>
      <c r="E415" t="s">
        <v>33</v>
      </c>
      <c r="F415" t="s">
        <v>184</v>
      </c>
      <c r="G415" t="s">
        <v>157</v>
      </c>
      <c r="H415" s="1">
        <v>44441</v>
      </c>
      <c r="I415" t="s">
        <v>27</v>
      </c>
      <c r="J415" t="s">
        <v>28</v>
      </c>
      <c r="K415">
        <v>2021</v>
      </c>
      <c r="L415">
        <v>2408</v>
      </c>
      <c r="M415">
        <v>12</v>
      </c>
      <c r="N415">
        <v>525</v>
      </c>
      <c r="O415">
        <v>1264200</v>
      </c>
      <c r="P415">
        <v>189630</v>
      </c>
      <c r="Q415">
        <v>1074570</v>
      </c>
      <c r="R415">
        <v>597.08249999999998</v>
      </c>
      <c r="S415">
        <v>28896</v>
      </c>
      <c r="T415">
        <v>1045674</v>
      </c>
    </row>
    <row r="416" spans="1:20" x14ac:dyDescent="0.35">
      <c r="A416" t="s">
        <v>53</v>
      </c>
      <c r="B416" t="s">
        <v>84</v>
      </c>
      <c r="C416" t="s">
        <v>43</v>
      </c>
      <c r="D416" t="s">
        <v>256</v>
      </c>
      <c r="E416" t="s">
        <v>45</v>
      </c>
      <c r="F416" t="s">
        <v>114</v>
      </c>
      <c r="G416" t="s">
        <v>157</v>
      </c>
      <c r="H416" s="1">
        <v>44360</v>
      </c>
      <c r="I416" t="s">
        <v>144</v>
      </c>
      <c r="J416" t="s">
        <v>78</v>
      </c>
      <c r="K416">
        <v>2021</v>
      </c>
      <c r="L416">
        <v>3089</v>
      </c>
      <c r="M416">
        <v>148</v>
      </c>
      <c r="N416">
        <v>450</v>
      </c>
      <c r="O416">
        <v>1390050</v>
      </c>
      <c r="P416">
        <v>208507.5</v>
      </c>
      <c r="Q416">
        <v>1181542.5</v>
      </c>
      <c r="R416">
        <v>656.37</v>
      </c>
      <c r="S416">
        <v>457172</v>
      </c>
      <c r="T416">
        <v>724370.5</v>
      </c>
    </row>
    <row r="417" spans="1:20" x14ac:dyDescent="0.35">
      <c r="A417" t="s">
        <v>29</v>
      </c>
      <c r="B417" t="s">
        <v>38</v>
      </c>
      <c r="C417" t="s">
        <v>55</v>
      </c>
      <c r="D417" t="s">
        <v>239</v>
      </c>
      <c r="E417" t="s">
        <v>57</v>
      </c>
      <c r="F417" t="s">
        <v>240</v>
      </c>
      <c r="G417" t="s">
        <v>26</v>
      </c>
      <c r="H417" s="1">
        <v>44455</v>
      </c>
      <c r="I417" t="s">
        <v>27</v>
      </c>
      <c r="J417" t="s">
        <v>28</v>
      </c>
      <c r="K417">
        <v>2021</v>
      </c>
      <c r="L417">
        <v>2964</v>
      </c>
      <c r="M417">
        <v>4</v>
      </c>
      <c r="N417">
        <v>23</v>
      </c>
      <c r="O417">
        <v>68172</v>
      </c>
      <c r="P417">
        <v>0</v>
      </c>
      <c r="Q417">
        <v>68172</v>
      </c>
      <c r="R417">
        <v>37.049999999999997</v>
      </c>
      <c r="S417">
        <v>11856</v>
      </c>
      <c r="T417">
        <v>56316</v>
      </c>
    </row>
    <row r="418" spans="1:20" x14ac:dyDescent="0.35">
      <c r="A418" t="s">
        <v>37</v>
      </c>
      <c r="B418" t="s">
        <v>47</v>
      </c>
      <c r="C418" t="s">
        <v>55</v>
      </c>
      <c r="D418" t="s">
        <v>172</v>
      </c>
      <c r="E418" t="s">
        <v>57</v>
      </c>
      <c r="F418" t="s">
        <v>173</v>
      </c>
      <c r="G418" t="s">
        <v>26</v>
      </c>
      <c r="H418" s="1">
        <v>44207</v>
      </c>
      <c r="I418" t="s">
        <v>35</v>
      </c>
      <c r="J418" t="s">
        <v>36</v>
      </c>
      <c r="K418">
        <v>2021</v>
      </c>
      <c r="L418">
        <v>1816</v>
      </c>
      <c r="M418">
        <v>4</v>
      </c>
      <c r="N418">
        <v>525</v>
      </c>
      <c r="O418">
        <v>953400</v>
      </c>
      <c r="P418">
        <v>0</v>
      </c>
      <c r="Q418">
        <v>953400</v>
      </c>
      <c r="R418">
        <v>529.54999999999995</v>
      </c>
      <c r="S418">
        <v>7264</v>
      </c>
      <c r="T418">
        <v>946136</v>
      </c>
    </row>
    <row r="419" spans="1:20" x14ac:dyDescent="0.35">
      <c r="A419" t="s">
        <v>37</v>
      </c>
      <c r="B419" t="s">
        <v>54</v>
      </c>
      <c r="C419" t="s">
        <v>22</v>
      </c>
      <c r="D419" t="s">
        <v>226</v>
      </c>
      <c r="E419" t="s">
        <v>24</v>
      </c>
      <c r="F419" t="s">
        <v>227</v>
      </c>
      <c r="G419" t="s">
        <v>26</v>
      </c>
      <c r="H419" s="1">
        <v>44198</v>
      </c>
      <c r="I419" t="s">
        <v>35</v>
      </c>
      <c r="J419" t="s">
        <v>36</v>
      </c>
      <c r="K419">
        <v>2021</v>
      </c>
      <c r="L419">
        <v>2279</v>
      </c>
      <c r="M419">
        <v>6</v>
      </c>
      <c r="N419">
        <v>30</v>
      </c>
      <c r="O419">
        <v>68370</v>
      </c>
      <c r="P419">
        <v>0</v>
      </c>
      <c r="Q419">
        <v>68370</v>
      </c>
      <c r="R419">
        <v>37.979999999999997</v>
      </c>
      <c r="S419">
        <v>13674</v>
      </c>
      <c r="T419">
        <v>54696</v>
      </c>
    </row>
    <row r="420" spans="1:20" x14ac:dyDescent="0.35">
      <c r="A420" t="s">
        <v>20</v>
      </c>
      <c r="B420" t="s">
        <v>21</v>
      </c>
      <c r="C420" t="s">
        <v>22</v>
      </c>
      <c r="D420" t="s">
        <v>23</v>
      </c>
      <c r="E420" t="s">
        <v>24</v>
      </c>
      <c r="F420" t="s">
        <v>25</v>
      </c>
      <c r="G420" t="s">
        <v>26</v>
      </c>
      <c r="H420" s="1">
        <v>44252</v>
      </c>
      <c r="I420" t="s">
        <v>52</v>
      </c>
      <c r="J420" t="s">
        <v>36</v>
      </c>
      <c r="K420">
        <v>2021</v>
      </c>
      <c r="L420">
        <v>3199</v>
      </c>
      <c r="M420">
        <v>6</v>
      </c>
      <c r="N420">
        <v>188</v>
      </c>
      <c r="O420">
        <v>601412</v>
      </c>
      <c r="P420">
        <v>0</v>
      </c>
      <c r="Q420">
        <v>601412</v>
      </c>
      <c r="R420">
        <v>333.1875</v>
      </c>
      <c r="S420">
        <v>19194</v>
      </c>
      <c r="T420">
        <v>582218</v>
      </c>
    </row>
    <row r="421" spans="1:20" x14ac:dyDescent="0.35">
      <c r="A421" t="s">
        <v>53</v>
      </c>
      <c r="B421" t="s">
        <v>30</v>
      </c>
      <c r="C421" t="s">
        <v>22</v>
      </c>
      <c r="D421" t="s">
        <v>113</v>
      </c>
      <c r="E421" t="s">
        <v>24</v>
      </c>
      <c r="F421" t="s">
        <v>114</v>
      </c>
      <c r="G421" t="s">
        <v>26</v>
      </c>
      <c r="H421" s="1">
        <v>44240</v>
      </c>
      <c r="I421" t="s">
        <v>52</v>
      </c>
      <c r="J421" t="s">
        <v>36</v>
      </c>
      <c r="K421">
        <v>2021</v>
      </c>
      <c r="L421">
        <v>1150</v>
      </c>
      <c r="M421">
        <v>6</v>
      </c>
      <c r="N421">
        <v>450</v>
      </c>
      <c r="O421">
        <v>517500</v>
      </c>
      <c r="P421">
        <v>0</v>
      </c>
      <c r="Q421">
        <v>517500</v>
      </c>
      <c r="R421">
        <v>287.39999999999998</v>
      </c>
      <c r="S421">
        <v>6900</v>
      </c>
      <c r="T421">
        <v>510600</v>
      </c>
    </row>
    <row r="422" spans="1:20" x14ac:dyDescent="0.35">
      <c r="A422" t="s">
        <v>37</v>
      </c>
      <c r="B422" t="s">
        <v>65</v>
      </c>
      <c r="C422" t="s">
        <v>22</v>
      </c>
      <c r="D422" t="s">
        <v>92</v>
      </c>
      <c r="E422" t="s">
        <v>24</v>
      </c>
      <c r="F422" t="s">
        <v>93</v>
      </c>
      <c r="G422" t="s">
        <v>26</v>
      </c>
      <c r="H422" s="1">
        <v>44221</v>
      </c>
      <c r="I422" t="s">
        <v>35</v>
      </c>
      <c r="J422" t="s">
        <v>36</v>
      </c>
      <c r="K422">
        <v>2021</v>
      </c>
      <c r="L422">
        <v>2575</v>
      </c>
      <c r="M422">
        <v>6</v>
      </c>
      <c r="N422">
        <v>11</v>
      </c>
      <c r="O422">
        <v>28325</v>
      </c>
      <c r="P422">
        <v>0</v>
      </c>
      <c r="Q422">
        <v>28325</v>
      </c>
      <c r="R422">
        <v>15.022</v>
      </c>
      <c r="S422">
        <v>15450</v>
      </c>
      <c r="T422">
        <v>12875</v>
      </c>
    </row>
    <row r="423" spans="1:20" x14ac:dyDescent="0.35">
      <c r="A423" t="s">
        <v>29</v>
      </c>
      <c r="B423" t="s">
        <v>38</v>
      </c>
      <c r="C423" t="s">
        <v>31</v>
      </c>
      <c r="D423" t="s">
        <v>199</v>
      </c>
      <c r="E423" t="s">
        <v>33</v>
      </c>
      <c r="F423" t="s">
        <v>200</v>
      </c>
      <c r="G423" t="s">
        <v>26</v>
      </c>
      <c r="H423" s="1">
        <v>44290</v>
      </c>
      <c r="I423" t="s">
        <v>112</v>
      </c>
      <c r="J423" t="s">
        <v>78</v>
      </c>
      <c r="K423">
        <v>2021</v>
      </c>
      <c r="L423">
        <v>1169</v>
      </c>
      <c r="M423">
        <v>12</v>
      </c>
      <c r="N423">
        <v>23</v>
      </c>
      <c r="O423">
        <v>26887</v>
      </c>
      <c r="P423">
        <v>0</v>
      </c>
      <c r="Q423">
        <v>26887</v>
      </c>
      <c r="R423">
        <v>14.61</v>
      </c>
      <c r="S423">
        <v>14028</v>
      </c>
      <c r="T423">
        <v>12859</v>
      </c>
    </row>
    <row r="424" spans="1:20" x14ac:dyDescent="0.35">
      <c r="A424" t="s">
        <v>37</v>
      </c>
      <c r="B424" t="s">
        <v>47</v>
      </c>
      <c r="C424" t="s">
        <v>31</v>
      </c>
      <c r="D424" t="s">
        <v>149</v>
      </c>
      <c r="E424" t="s">
        <v>33</v>
      </c>
      <c r="F424" t="s">
        <v>150</v>
      </c>
      <c r="G424" t="s">
        <v>26</v>
      </c>
      <c r="H424" s="1">
        <v>44397</v>
      </c>
      <c r="I424" t="s">
        <v>89</v>
      </c>
      <c r="J424" t="s">
        <v>28</v>
      </c>
      <c r="K424">
        <v>2021</v>
      </c>
      <c r="L424">
        <v>1207</v>
      </c>
      <c r="M424">
        <v>12</v>
      </c>
      <c r="N424">
        <v>525</v>
      </c>
      <c r="O424">
        <v>633675</v>
      </c>
      <c r="P424">
        <v>0</v>
      </c>
      <c r="Q424">
        <v>633675</v>
      </c>
      <c r="R424">
        <v>352.1</v>
      </c>
      <c r="S424">
        <v>14484</v>
      </c>
      <c r="T424">
        <v>619191</v>
      </c>
    </row>
    <row r="425" spans="1:20" x14ac:dyDescent="0.35">
      <c r="A425" t="s">
        <v>37</v>
      </c>
      <c r="B425" t="s">
        <v>38</v>
      </c>
      <c r="C425" t="s">
        <v>31</v>
      </c>
      <c r="D425" t="s">
        <v>39</v>
      </c>
      <c r="E425" t="s">
        <v>33</v>
      </c>
      <c r="F425" t="s">
        <v>40</v>
      </c>
      <c r="G425" t="s">
        <v>26</v>
      </c>
      <c r="H425" s="1">
        <v>44214</v>
      </c>
      <c r="I425" t="s">
        <v>35</v>
      </c>
      <c r="J425" t="s">
        <v>36</v>
      </c>
      <c r="K425">
        <v>2021</v>
      </c>
      <c r="L425">
        <v>2180</v>
      </c>
      <c r="M425">
        <v>12</v>
      </c>
      <c r="N425">
        <v>30</v>
      </c>
      <c r="O425">
        <v>65400</v>
      </c>
      <c r="P425">
        <v>0</v>
      </c>
      <c r="Q425">
        <v>65400</v>
      </c>
      <c r="R425">
        <v>36.340000000000003</v>
      </c>
      <c r="S425">
        <v>26160</v>
      </c>
      <c r="T425">
        <v>39240</v>
      </c>
    </row>
    <row r="426" spans="1:20" x14ac:dyDescent="0.35">
      <c r="A426" t="s">
        <v>37</v>
      </c>
      <c r="B426" t="s">
        <v>47</v>
      </c>
      <c r="C426" t="s">
        <v>31</v>
      </c>
      <c r="D426" t="s">
        <v>149</v>
      </c>
      <c r="E426" t="s">
        <v>33</v>
      </c>
      <c r="F426" t="s">
        <v>150</v>
      </c>
      <c r="G426" t="s">
        <v>26</v>
      </c>
      <c r="H426" s="1">
        <v>44238</v>
      </c>
      <c r="I426" t="s">
        <v>52</v>
      </c>
      <c r="J426" t="s">
        <v>36</v>
      </c>
      <c r="K426">
        <v>2021</v>
      </c>
      <c r="L426">
        <v>1816</v>
      </c>
      <c r="M426">
        <v>12</v>
      </c>
      <c r="N426">
        <v>525</v>
      </c>
      <c r="O426">
        <v>953400</v>
      </c>
      <c r="P426">
        <v>0</v>
      </c>
      <c r="Q426">
        <v>953400</v>
      </c>
      <c r="R426">
        <v>529.54999999999995</v>
      </c>
      <c r="S426">
        <v>21792</v>
      </c>
      <c r="T426">
        <v>931608</v>
      </c>
    </row>
    <row r="427" spans="1:20" x14ac:dyDescent="0.35">
      <c r="A427" t="s">
        <v>37</v>
      </c>
      <c r="B427" t="s">
        <v>42</v>
      </c>
      <c r="C427" t="s">
        <v>43</v>
      </c>
      <c r="D427" t="s">
        <v>87</v>
      </c>
      <c r="E427" t="s">
        <v>45</v>
      </c>
      <c r="F427" t="s">
        <v>88</v>
      </c>
      <c r="G427" t="s">
        <v>26</v>
      </c>
      <c r="H427" s="1">
        <v>44259</v>
      </c>
      <c r="I427" t="s">
        <v>109</v>
      </c>
      <c r="J427" t="s">
        <v>36</v>
      </c>
      <c r="K427">
        <v>2021</v>
      </c>
      <c r="L427">
        <v>1792</v>
      </c>
      <c r="M427">
        <v>148</v>
      </c>
      <c r="N427">
        <v>11</v>
      </c>
      <c r="O427">
        <v>19712</v>
      </c>
      <c r="P427">
        <v>0</v>
      </c>
      <c r="Q427">
        <v>19712</v>
      </c>
      <c r="R427">
        <v>10.451000000000001</v>
      </c>
      <c r="S427">
        <v>265216</v>
      </c>
      <c r="T427">
        <v>-245504</v>
      </c>
    </row>
    <row r="428" spans="1:20" x14ac:dyDescent="0.35">
      <c r="A428" t="s">
        <v>20</v>
      </c>
      <c r="B428" t="s">
        <v>65</v>
      </c>
      <c r="C428" t="s">
        <v>43</v>
      </c>
      <c r="D428" t="s">
        <v>119</v>
      </c>
      <c r="E428" t="s">
        <v>45</v>
      </c>
      <c r="F428" t="s">
        <v>120</v>
      </c>
      <c r="G428" t="s">
        <v>26</v>
      </c>
      <c r="H428" s="1">
        <v>44375</v>
      </c>
      <c r="I428" t="s">
        <v>144</v>
      </c>
      <c r="J428" t="s">
        <v>78</v>
      </c>
      <c r="K428">
        <v>2021</v>
      </c>
      <c r="L428">
        <v>2165</v>
      </c>
      <c r="M428">
        <v>148</v>
      </c>
      <c r="N428">
        <v>188</v>
      </c>
      <c r="O428">
        <v>407020</v>
      </c>
      <c r="P428">
        <v>0</v>
      </c>
      <c r="Q428">
        <v>407020</v>
      </c>
      <c r="R428">
        <v>225.5</v>
      </c>
      <c r="S428">
        <v>320420</v>
      </c>
      <c r="T428">
        <v>86600</v>
      </c>
    </row>
    <row r="429" spans="1:20" x14ac:dyDescent="0.35">
      <c r="A429" t="s">
        <v>79</v>
      </c>
      <c r="B429" t="s">
        <v>30</v>
      </c>
      <c r="C429" t="s">
        <v>43</v>
      </c>
      <c r="D429" t="s">
        <v>201</v>
      </c>
      <c r="E429" t="s">
        <v>45</v>
      </c>
      <c r="F429" t="s">
        <v>161</v>
      </c>
      <c r="G429" t="s">
        <v>26</v>
      </c>
      <c r="H429" s="1">
        <v>44412</v>
      </c>
      <c r="I429" t="s">
        <v>41</v>
      </c>
      <c r="J429" t="s">
        <v>28</v>
      </c>
      <c r="K429">
        <v>2021</v>
      </c>
      <c r="L429">
        <v>1854</v>
      </c>
      <c r="M429">
        <v>148</v>
      </c>
      <c r="N429">
        <v>18</v>
      </c>
      <c r="O429">
        <v>33372</v>
      </c>
      <c r="P429">
        <v>0</v>
      </c>
      <c r="Q429">
        <v>33372</v>
      </c>
      <c r="R429">
        <v>18.54</v>
      </c>
      <c r="S429">
        <v>274392</v>
      </c>
      <c r="T429">
        <v>-241020</v>
      </c>
    </row>
    <row r="430" spans="1:20" x14ac:dyDescent="0.35">
      <c r="A430" t="s">
        <v>20</v>
      </c>
      <c r="B430" t="s">
        <v>42</v>
      </c>
      <c r="C430" t="s">
        <v>43</v>
      </c>
      <c r="D430" t="s">
        <v>185</v>
      </c>
      <c r="E430" t="s">
        <v>45</v>
      </c>
      <c r="F430" t="s">
        <v>186</v>
      </c>
      <c r="G430" t="s">
        <v>26</v>
      </c>
      <c r="H430" s="1">
        <v>44427</v>
      </c>
      <c r="I430" t="s">
        <v>41</v>
      </c>
      <c r="J430" t="s">
        <v>28</v>
      </c>
      <c r="K430">
        <v>2021</v>
      </c>
      <c r="L430">
        <v>3385</v>
      </c>
      <c r="M430">
        <v>148</v>
      </c>
      <c r="N430">
        <v>188</v>
      </c>
      <c r="O430">
        <v>636380</v>
      </c>
      <c r="P430">
        <v>0</v>
      </c>
      <c r="Q430">
        <v>636380</v>
      </c>
      <c r="R430">
        <v>352.625</v>
      </c>
      <c r="S430">
        <v>500980</v>
      </c>
      <c r="T430">
        <v>135400</v>
      </c>
    </row>
    <row r="431" spans="1:20" x14ac:dyDescent="0.35">
      <c r="A431" t="s">
        <v>53</v>
      </c>
      <c r="B431" t="s">
        <v>42</v>
      </c>
      <c r="C431" t="s">
        <v>48</v>
      </c>
      <c r="D431" t="s">
        <v>135</v>
      </c>
      <c r="E431" t="s">
        <v>50</v>
      </c>
      <c r="F431" t="s">
        <v>136</v>
      </c>
      <c r="G431" t="s">
        <v>26</v>
      </c>
      <c r="H431" s="1">
        <v>44281</v>
      </c>
      <c r="I431" t="s">
        <v>109</v>
      </c>
      <c r="J431" t="s">
        <v>36</v>
      </c>
      <c r="K431">
        <v>2021</v>
      </c>
      <c r="L431">
        <v>2401</v>
      </c>
      <c r="M431">
        <v>308</v>
      </c>
      <c r="N431">
        <v>450</v>
      </c>
      <c r="O431">
        <v>1080450</v>
      </c>
      <c r="P431">
        <v>0</v>
      </c>
      <c r="Q431">
        <v>1080450</v>
      </c>
      <c r="R431">
        <v>600.29999999999995</v>
      </c>
      <c r="S431">
        <v>739508</v>
      </c>
      <c r="T431">
        <v>340942</v>
      </c>
    </row>
    <row r="432" spans="1:20" x14ac:dyDescent="0.35">
      <c r="A432" t="s">
        <v>79</v>
      </c>
      <c r="B432" t="s">
        <v>54</v>
      </c>
      <c r="C432" t="s">
        <v>48</v>
      </c>
      <c r="D432" t="s">
        <v>139</v>
      </c>
      <c r="E432" t="s">
        <v>50</v>
      </c>
      <c r="F432" t="s">
        <v>140</v>
      </c>
      <c r="G432" t="s">
        <v>26</v>
      </c>
      <c r="H432" s="1">
        <v>44380</v>
      </c>
      <c r="I432" t="s">
        <v>89</v>
      </c>
      <c r="J432" t="s">
        <v>28</v>
      </c>
      <c r="K432">
        <v>2021</v>
      </c>
      <c r="L432">
        <v>3406</v>
      </c>
      <c r="M432">
        <v>308</v>
      </c>
      <c r="N432">
        <v>18</v>
      </c>
      <c r="O432">
        <v>61308</v>
      </c>
      <c r="P432">
        <v>0</v>
      </c>
      <c r="Q432">
        <v>61308</v>
      </c>
      <c r="R432">
        <v>34.055999999999997</v>
      </c>
      <c r="S432">
        <v>1049048</v>
      </c>
      <c r="T432">
        <v>-987740</v>
      </c>
    </row>
    <row r="433" spans="1:20" x14ac:dyDescent="0.35">
      <c r="A433" t="s">
        <v>20</v>
      </c>
      <c r="B433" t="s">
        <v>21</v>
      </c>
      <c r="C433" t="s">
        <v>102</v>
      </c>
      <c r="D433" t="s">
        <v>276</v>
      </c>
      <c r="E433" t="s">
        <v>104</v>
      </c>
      <c r="F433" t="s">
        <v>217</v>
      </c>
      <c r="G433" t="s">
        <v>26</v>
      </c>
      <c r="H433" s="1">
        <v>44247</v>
      </c>
      <c r="I433" t="s">
        <v>52</v>
      </c>
      <c r="J433" t="s">
        <v>36</v>
      </c>
      <c r="K433">
        <v>2021</v>
      </c>
      <c r="L433">
        <v>5063</v>
      </c>
      <c r="M433">
        <v>320</v>
      </c>
      <c r="N433">
        <v>188</v>
      </c>
      <c r="O433">
        <v>951844</v>
      </c>
      <c r="P433">
        <v>0</v>
      </c>
      <c r="Q433">
        <v>951844</v>
      </c>
      <c r="R433">
        <v>527.4375</v>
      </c>
      <c r="S433">
        <v>1620160</v>
      </c>
      <c r="T433">
        <v>-668316</v>
      </c>
    </row>
    <row r="434" spans="1:20" x14ac:dyDescent="0.35">
      <c r="A434" t="s">
        <v>37</v>
      </c>
      <c r="B434" t="s">
        <v>21</v>
      </c>
      <c r="C434" t="s">
        <v>102</v>
      </c>
      <c r="D434" t="s">
        <v>137</v>
      </c>
      <c r="E434" t="s">
        <v>104</v>
      </c>
      <c r="F434" t="s">
        <v>138</v>
      </c>
      <c r="G434" t="s">
        <v>26</v>
      </c>
      <c r="H434" s="1">
        <v>44380</v>
      </c>
      <c r="I434" t="s">
        <v>89</v>
      </c>
      <c r="J434" t="s">
        <v>28</v>
      </c>
      <c r="K434">
        <v>2021</v>
      </c>
      <c r="L434">
        <v>2279</v>
      </c>
      <c r="M434">
        <v>320</v>
      </c>
      <c r="N434">
        <v>30</v>
      </c>
      <c r="O434">
        <v>68370</v>
      </c>
      <c r="P434">
        <v>0</v>
      </c>
      <c r="Q434">
        <v>68370</v>
      </c>
      <c r="R434">
        <v>37.979999999999997</v>
      </c>
      <c r="S434">
        <v>729280</v>
      </c>
      <c r="T434">
        <v>-660910</v>
      </c>
    </row>
    <row r="435" spans="1:20" x14ac:dyDescent="0.35">
      <c r="A435" t="s">
        <v>37</v>
      </c>
      <c r="B435" t="s">
        <v>54</v>
      </c>
      <c r="C435" t="s">
        <v>102</v>
      </c>
      <c r="D435" t="s">
        <v>106</v>
      </c>
      <c r="E435" t="s">
        <v>104</v>
      </c>
      <c r="F435" t="s">
        <v>107</v>
      </c>
      <c r="G435" t="s">
        <v>26</v>
      </c>
      <c r="H435" s="1">
        <v>44453</v>
      </c>
      <c r="I435" t="s">
        <v>27</v>
      </c>
      <c r="J435" t="s">
        <v>28</v>
      </c>
      <c r="K435">
        <v>2021</v>
      </c>
      <c r="L435">
        <v>2023</v>
      </c>
      <c r="M435">
        <v>320</v>
      </c>
      <c r="N435">
        <v>11</v>
      </c>
      <c r="O435">
        <v>22253</v>
      </c>
      <c r="P435">
        <v>0</v>
      </c>
      <c r="Q435">
        <v>22253</v>
      </c>
      <c r="R435">
        <v>11.802</v>
      </c>
      <c r="S435">
        <v>647360</v>
      </c>
      <c r="T435">
        <v>-625107</v>
      </c>
    </row>
    <row r="436" spans="1:20" x14ac:dyDescent="0.35">
      <c r="A436" t="s">
        <v>37</v>
      </c>
      <c r="B436" t="s">
        <v>47</v>
      </c>
      <c r="C436" t="s">
        <v>102</v>
      </c>
      <c r="D436" t="s">
        <v>224</v>
      </c>
      <c r="E436" t="s">
        <v>104</v>
      </c>
      <c r="F436" t="s">
        <v>225</v>
      </c>
      <c r="G436" t="s">
        <v>26</v>
      </c>
      <c r="H436" s="1">
        <v>44309</v>
      </c>
      <c r="I436" t="s">
        <v>112</v>
      </c>
      <c r="J436" t="s">
        <v>78</v>
      </c>
      <c r="K436">
        <v>2021</v>
      </c>
      <c r="L436">
        <v>1372</v>
      </c>
      <c r="M436">
        <v>320</v>
      </c>
      <c r="N436">
        <v>11</v>
      </c>
      <c r="O436">
        <v>15092</v>
      </c>
      <c r="P436">
        <v>0</v>
      </c>
      <c r="Q436">
        <v>15092</v>
      </c>
      <c r="R436">
        <v>8.0009999999999994</v>
      </c>
      <c r="S436">
        <v>439040</v>
      </c>
      <c r="T436">
        <v>-423948</v>
      </c>
    </row>
    <row r="437" spans="1:20" x14ac:dyDescent="0.35">
      <c r="A437" t="s">
        <v>37</v>
      </c>
      <c r="B437" t="s">
        <v>38</v>
      </c>
      <c r="C437" t="s">
        <v>31</v>
      </c>
      <c r="D437" t="s">
        <v>117</v>
      </c>
      <c r="E437" t="s">
        <v>33</v>
      </c>
      <c r="F437" t="s">
        <v>118</v>
      </c>
      <c r="G437" t="s">
        <v>59</v>
      </c>
      <c r="H437" s="1">
        <v>44420</v>
      </c>
      <c r="I437" t="s">
        <v>41</v>
      </c>
      <c r="J437" t="s">
        <v>28</v>
      </c>
      <c r="K437">
        <v>2021</v>
      </c>
      <c r="L437">
        <v>1236</v>
      </c>
      <c r="M437">
        <v>12</v>
      </c>
      <c r="N437">
        <v>11</v>
      </c>
      <c r="O437">
        <v>13596</v>
      </c>
      <c r="P437">
        <v>135.95999999999998</v>
      </c>
      <c r="Q437">
        <v>13460.04</v>
      </c>
      <c r="R437">
        <v>7.1378999999999992</v>
      </c>
      <c r="S437">
        <v>14832</v>
      </c>
      <c r="T437">
        <v>-1371.9599999999991</v>
      </c>
    </row>
    <row r="438" spans="1:20" x14ac:dyDescent="0.35">
      <c r="A438" t="s">
        <v>37</v>
      </c>
      <c r="B438" t="s">
        <v>42</v>
      </c>
      <c r="C438" t="s">
        <v>48</v>
      </c>
      <c r="D438" t="s">
        <v>121</v>
      </c>
      <c r="E438" t="s">
        <v>50</v>
      </c>
      <c r="F438" t="s">
        <v>122</v>
      </c>
      <c r="G438" t="s">
        <v>59</v>
      </c>
      <c r="H438" s="1">
        <v>44274</v>
      </c>
      <c r="I438" t="s">
        <v>109</v>
      </c>
      <c r="J438" t="s">
        <v>36</v>
      </c>
      <c r="K438">
        <v>2021</v>
      </c>
      <c r="L438">
        <v>1591</v>
      </c>
      <c r="M438">
        <v>308</v>
      </c>
      <c r="N438">
        <v>11</v>
      </c>
      <c r="O438">
        <v>17501</v>
      </c>
      <c r="P438">
        <v>175.00999999999996</v>
      </c>
      <c r="Q438">
        <v>17325.990000000002</v>
      </c>
      <c r="R438">
        <v>9.1891800000000003</v>
      </c>
      <c r="S438">
        <v>490028</v>
      </c>
      <c r="T438">
        <v>-472702.01</v>
      </c>
    </row>
    <row r="439" spans="1:20" x14ac:dyDescent="0.35">
      <c r="A439" t="s">
        <v>79</v>
      </c>
      <c r="B439" t="s">
        <v>38</v>
      </c>
      <c r="C439" t="s">
        <v>55</v>
      </c>
      <c r="D439" t="s">
        <v>293</v>
      </c>
      <c r="E439" t="s">
        <v>57</v>
      </c>
      <c r="F439" t="s">
        <v>240</v>
      </c>
      <c r="G439" t="s">
        <v>59</v>
      </c>
      <c r="H439" s="1">
        <v>44446</v>
      </c>
      <c r="I439" t="s">
        <v>27</v>
      </c>
      <c r="J439" t="s">
        <v>28</v>
      </c>
      <c r="K439">
        <v>2021</v>
      </c>
      <c r="L439">
        <v>2230</v>
      </c>
      <c r="M439">
        <v>4</v>
      </c>
      <c r="N439">
        <v>18</v>
      </c>
      <c r="O439">
        <v>40140</v>
      </c>
      <c r="P439">
        <v>401.40000000000003</v>
      </c>
      <c r="Q439">
        <v>39738.6</v>
      </c>
      <c r="R439">
        <v>22.073040000000002</v>
      </c>
      <c r="S439">
        <v>8920</v>
      </c>
      <c r="T439">
        <v>30818.6</v>
      </c>
    </row>
    <row r="440" spans="1:20" x14ac:dyDescent="0.35">
      <c r="A440" t="s">
        <v>29</v>
      </c>
      <c r="B440" t="s">
        <v>30</v>
      </c>
      <c r="C440" t="s">
        <v>31</v>
      </c>
      <c r="D440" t="s">
        <v>82</v>
      </c>
      <c r="E440" t="s">
        <v>33</v>
      </c>
      <c r="F440" t="s">
        <v>83</v>
      </c>
      <c r="G440" t="s">
        <v>59</v>
      </c>
      <c r="H440" s="1">
        <v>44446</v>
      </c>
      <c r="I440" t="s">
        <v>27</v>
      </c>
      <c r="J440" t="s">
        <v>28</v>
      </c>
      <c r="K440">
        <v>2021</v>
      </c>
      <c r="L440">
        <v>1817</v>
      </c>
      <c r="M440">
        <v>12</v>
      </c>
      <c r="N440">
        <v>23</v>
      </c>
      <c r="O440">
        <v>41791</v>
      </c>
      <c r="P440">
        <v>417.91</v>
      </c>
      <c r="Q440">
        <v>41373.089999999997</v>
      </c>
      <c r="R440">
        <v>22.482900000000001</v>
      </c>
      <c r="S440">
        <v>21804</v>
      </c>
      <c r="T440">
        <v>19569.089999999997</v>
      </c>
    </row>
    <row r="441" spans="1:20" x14ac:dyDescent="0.35">
      <c r="A441" t="s">
        <v>20</v>
      </c>
      <c r="B441" t="s">
        <v>54</v>
      </c>
      <c r="C441" t="s">
        <v>31</v>
      </c>
      <c r="D441" t="s">
        <v>243</v>
      </c>
      <c r="E441" t="s">
        <v>33</v>
      </c>
      <c r="F441" t="s">
        <v>163</v>
      </c>
      <c r="G441" t="s">
        <v>59</v>
      </c>
      <c r="H441" s="1">
        <v>44260</v>
      </c>
      <c r="I441" t="s">
        <v>109</v>
      </c>
      <c r="J441" t="s">
        <v>36</v>
      </c>
      <c r="K441">
        <v>2021</v>
      </c>
      <c r="L441">
        <v>872</v>
      </c>
      <c r="M441">
        <v>12</v>
      </c>
      <c r="N441">
        <v>188</v>
      </c>
      <c r="O441">
        <v>163936</v>
      </c>
      <c r="P441">
        <v>1639.3600000000001</v>
      </c>
      <c r="Q441">
        <v>162296.64000000001</v>
      </c>
      <c r="R441">
        <v>89.966250000000002</v>
      </c>
      <c r="S441">
        <v>10464</v>
      </c>
      <c r="T441">
        <v>151832.64000000001</v>
      </c>
    </row>
    <row r="442" spans="1:20" x14ac:dyDescent="0.35">
      <c r="A442" t="s">
        <v>53</v>
      </c>
      <c r="B442" t="s">
        <v>38</v>
      </c>
      <c r="C442" t="s">
        <v>31</v>
      </c>
      <c r="D442" t="s">
        <v>235</v>
      </c>
      <c r="E442" t="s">
        <v>33</v>
      </c>
      <c r="F442" t="s">
        <v>165</v>
      </c>
      <c r="G442" t="s">
        <v>59</v>
      </c>
      <c r="H442" s="1">
        <v>44213</v>
      </c>
      <c r="I442" t="s">
        <v>35</v>
      </c>
      <c r="J442" t="s">
        <v>36</v>
      </c>
      <c r="K442">
        <v>2021</v>
      </c>
      <c r="L442">
        <v>3486</v>
      </c>
      <c r="M442">
        <v>12</v>
      </c>
      <c r="N442">
        <v>450</v>
      </c>
      <c r="O442">
        <v>1568700</v>
      </c>
      <c r="P442">
        <v>15687</v>
      </c>
      <c r="Q442">
        <v>1553013</v>
      </c>
      <c r="R442">
        <v>862.78499999999997</v>
      </c>
      <c r="S442">
        <v>41832</v>
      </c>
      <c r="T442">
        <v>1511181</v>
      </c>
    </row>
    <row r="443" spans="1:20" x14ac:dyDescent="0.35">
      <c r="A443" t="s">
        <v>37</v>
      </c>
      <c r="B443" t="s">
        <v>38</v>
      </c>
      <c r="C443" t="s">
        <v>31</v>
      </c>
      <c r="D443" t="s">
        <v>117</v>
      </c>
      <c r="E443" t="s">
        <v>33</v>
      </c>
      <c r="F443" t="s">
        <v>118</v>
      </c>
      <c r="G443" t="s">
        <v>59</v>
      </c>
      <c r="H443" s="1">
        <v>44412</v>
      </c>
      <c r="I443" t="s">
        <v>41</v>
      </c>
      <c r="J443" t="s">
        <v>28</v>
      </c>
      <c r="K443">
        <v>2021</v>
      </c>
      <c r="L443">
        <v>2586</v>
      </c>
      <c r="M443">
        <v>12</v>
      </c>
      <c r="N443">
        <v>525</v>
      </c>
      <c r="O443">
        <v>1357650</v>
      </c>
      <c r="P443">
        <v>13576.5</v>
      </c>
      <c r="Q443">
        <v>1344073.5</v>
      </c>
      <c r="R443">
        <v>746.70749999999998</v>
      </c>
      <c r="S443">
        <v>31032</v>
      </c>
      <c r="T443">
        <v>1313041.5</v>
      </c>
    </row>
    <row r="444" spans="1:20" x14ac:dyDescent="0.35">
      <c r="A444" t="s">
        <v>20</v>
      </c>
      <c r="B444" t="s">
        <v>42</v>
      </c>
      <c r="C444" t="s">
        <v>43</v>
      </c>
      <c r="D444" t="s">
        <v>44</v>
      </c>
      <c r="E444" t="s">
        <v>45</v>
      </c>
      <c r="F444" t="s">
        <v>46</v>
      </c>
      <c r="G444" t="s">
        <v>59</v>
      </c>
      <c r="H444" s="1">
        <v>44290</v>
      </c>
      <c r="I444" t="s">
        <v>112</v>
      </c>
      <c r="J444" t="s">
        <v>78</v>
      </c>
      <c r="K444">
        <v>2021</v>
      </c>
      <c r="L444">
        <v>1108</v>
      </c>
      <c r="M444">
        <v>148</v>
      </c>
      <c r="N444">
        <v>188</v>
      </c>
      <c r="O444">
        <v>208304</v>
      </c>
      <c r="P444">
        <v>2083.04</v>
      </c>
      <c r="Q444">
        <v>206220.96</v>
      </c>
      <c r="R444">
        <v>114.22125</v>
      </c>
      <c r="S444">
        <v>163984</v>
      </c>
      <c r="T444">
        <v>42236.959999999992</v>
      </c>
    </row>
    <row r="445" spans="1:20" x14ac:dyDescent="0.35">
      <c r="A445" t="s">
        <v>20</v>
      </c>
      <c r="B445" t="s">
        <v>84</v>
      </c>
      <c r="C445" t="s">
        <v>55</v>
      </c>
      <c r="D445" t="s">
        <v>166</v>
      </c>
      <c r="E445" t="s">
        <v>57</v>
      </c>
      <c r="F445" t="s">
        <v>167</v>
      </c>
      <c r="G445" t="s">
        <v>59</v>
      </c>
      <c r="H445" s="1">
        <v>44343</v>
      </c>
      <c r="I445" t="s">
        <v>77</v>
      </c>
      <c r="J445" t="s">
        <v>78</v>
      </c>
      <c r="K445">
        <v>2021</v>
      </c>
      <c r="L445">
        <v>891</v>
      </c>
      <c r="M445">
        <v>4</v>
      </c>
      <c r="N445">
        <v>188</v>
      </c>
      <c r="O445">
        <v>167508</v>
      </c>
      <c r="P445">
        <v>3350.16</v>
      </c>
      <c r="Q445">
        <v>164157.84</v>
      </c>
      <c r="R445">
        <v>90.956249999999997</v>
      </c>
      <c r="S445">
        <v>3564</v>
      </c>
      <c r="T445">
        <v>160593.84</v>
      </c>
    </row>
    <row r="446" spans="1:20" x14ac:dyDescent="0.35">
      <c r="A446" t="s">
        <v>79</v>
      </c>
      <c r="B446" t="s">
        <v>47</v>
      </c>
      <c r="C446" t="s">
        <v>22</v>
      </c>
      <c r="D446" t="s">
        <v>278</v>
      </c>
      <c r="E446" t="s">
        <v>24</v>
      </c>
      <c r="F446" t="s">
        <v>150</v>
      </c>
      <c r="G446" t="s">
        <v>59</v>
      </c>
      <c r="H446" s="1">
        <v>44403</v>
      </c>
      <c r="I446" t="s">
        <v>89</v>
      </c>
      <c r="J446" t="s">
        <v>28</v>
      </c>
      <c r="K446">
        <v>2021</v>
      </c>
      <c r="L446">
        <v>828</v>
      </c>
      <c r="M446">
        <v>6</v>
      </c>
      <c r="N446">
        <v>18</v>
      </c>
      <c r="O446">
        <v>14904</v>
      </c>
      <c r="P446">
        <v>298.08</v>
      </c>
      <c r="Q446">
        <v>14605.92</v>
      </c>
      <c r="R446">
        <v>8.1143999999999998</v>
      </c>
      <c r="S446">
        <v>4968</v>
      </c>
      <c r="T446">
        <v>9637.92</v>
      </c>
    </row>
    <row r="447" spans="1:20" x14ac:dyDescent="0.35">
      <c r="A447" t="s">
        <v>79</v>
      </c>
      <c r="B447" t="s">
        <v>42</v>
      </c>
      <c r="C447" t="s">
        <v>31</v>
      </c>
      <c r="D447" t="s">
        <v>145</v>
      </c>
      <c r="E447" t="s">
        <v>33</v>
      </c>
      <c r="F447" t="s">
        <v>146</v>
      </c>
      <c r="G447" t="s">
        <v>59</v>
      </c>
      <c r="H447" s="1">
        <v>44305</v>
      </c>
      <c r="I447" t="s">
        <v>112</v>
      </c>
      <c r="J447" t="s">
        <v>78</v>
      </c>
      <c r="K447">
        <v>2021</v>
      </c>
      <c r="L447">
        <v>1301</v>
      </c>
      <c r="M447">
        <v>12</v>
      </c>
      <c r="N447">
        <v>18</v>
      </c>
      <c r="O447">
        <v>23418</v>
      </c>
      <c r="P447">
        <v>468.36</v>
      </c>
      <c r="Q447">
        <v>22949.64</v>
      </c>
      <c r="R447">
        <v>12.74784</v>
      </c>
      <c r="S447">
        <v>15612</v>
      </c>
      <c r="T447">
        <v>7337.6399999999994</v>
      </c>
    </row>
    <row r="448" spans="1:20" x14ac:dyDescent="0.35">
      <c r="A448" t="s">
        <v>37</v>
      </c>
      <c r="B448" t="s">
        <v>21</v>
      </c>
      <c r="C448" t="s">
        <v>43</v>
      </c>
      <c r="D448" t="s">
        <v>245</v>
      </c>
      <c r="E448" t="s">
        <v>45</v>
      </c>
      <c r="F448" t="s">
        <v>246</v>
      </c>
      <c r="G448" t="s">
        <v>59</v>
      </c>
      <c r="H448" s="1">
        <v>44436</v>
      </c>
      <c r="I448" t="s">
        <v>41</v>
      </c>
      <c r="J448" t="s">
        <v>28</v>
      </c>
      <c r="K448">
        <v>2021</v>
      </c>
      <c r="L448">
        <v>1879</v>
      </c>
      <c r="M448">
        <v>148</v>
      </c>
      <c r="N448">
        <v>30</v>
      </c>
      <c r="O448">
        <v>56370</v>
      </c>
      <c r="P448">
        <v>1127.4000000000001</v>
      </c>
      <c r="Q448">
        <v>55242.6</v>
      </c>
      <c r="R448">
        <v>30.6936</v>
      </c>
      <c r="S448">
        <v>278092</v>
      </c>
      <c r="T448">
        <v>-222849.4</v>
      </c>
    </row>
    <row r="449" spans="1:20" x14ac:dyDescent="0.35">
      <c r="A449" t="s">
        <v>37</v>
      </c>
      <c r="B449" t="s">
        <v>38</v>
      </c>
      <c r="C449" t="s">
        <v>43</v>
      </c>
      <c r="D449" t="s">
        <v>262</v>
      </c>
      <c r="E449" t="s">
        <v>45</v>
      </c>
      <c r="F449" t="s">
        <v>263</v>
      </c>
      <c r="G449" t="s">
        <v>59</v>
      </c>
      <c r="H449" s="1">
        <v>44456</v>
      </c>
      <c r="I449" t="s">
        <v>27</v>
      </c>
      <c r="J449" t="s">
        <v>28</v>
      </c>
      <c r="K449">
        <v>2021</v>
      </c>
      <c r="L449">
        <v>3452</v>
      </c>
      <c r="M449">
        <v>148</v>
      </c>
      <c r="N449">
        <v>525</v>
      </c>
      <c r="O449">
        <v>1812300</v>
      </c>
      <c r="P449">
        <v>36246</v>
      </c>
      <c r="Q449">
        <v>1776054</v>
      </c>
      <c r="R449">
        <v>986.81100000000004</v>
      </c>
      <c r="S449">
        <v>510896</v>
      </c>
      <c r="T449">
        <v>1265158</v>
      </c>
    </row>
    <row r="450" spans="1:20" x14ac:dyDescent="0.35">
      <c r="A450" t="s">
        <v>79</v>
      </c>
      <c r="B450" t="s">
        <v>38</v>
      </c>
      <c r="C450" t="s">
        <v>43</v>
      </c>
      <c r="D450" t="s">
        <v>282</v>
      </c>
      <c r="E450" t="s">
        <v>45</v>
      </c>
      <c r="F450" t="s">
        <v>260</v>
      </c>
      <c r="G450" t="s">
        <v>59</v>
      </c>
      <c r="H450" s="1">
        <v>44295</v>
      </c>
      <c r="I450" t="s">
        <v>112</v>
      </c>
      <c r="J450" t="s">
        <v>78</v>
      </c>
      <c r="K450">
        <v>2021</v>
      </c>
      <c r="L450">
        <v>1301</v>
      </c>
      <c r="M450">
        <v>148</v>
      </c>
      <c r="N450">
        <v>18</v>
      </c>
      <c r="O450">
        <v>23418</v>
      </c>
      <c r="P450">
        <v>468.36</v>
      </c>
      <c r="Q450">
        <v>22949.64</v>
      </c>
      <c r="R450">
        <v>12.74784</v>
      </c>
      <c r="S450">
        <v>192548</v>
      </c>
      <c r="T450">
        <v>-169598.36</v>
      </c>
    </row>
    <row r="451" spans="1:20" x14ac:dyDescent="0.35">
      <c r="A451" t="s">
        <v>53</v>
      </c>
      <c r="B451" t="s">
        <v>84</v>
      </c>
      <c r="C451" t="s">
        <v>102</v>
      </c>
      <c r="D451" t="s">
        <v>297</v>
      </c>
      <c r="E451" t="s">
        <v>104</v>
      </c>
      <c r="F451" t="s">
        <v>281</v>
      </c>
      <c r="G451" t="s">
        <v>59</v>
      </c>
      <c r="H451" s="1">
        <v>44253</v>
      </c>
      <c r="I451" t="s">
        <v>52</v>
      </c>
      <c r="J451" t="s">
        <v>36</v>
      </c>
      <c r="K451">
        <v>2021</v>
      </c>
      <c r="L451">
        <v>311</v>
      </c>
      <c r="M451">
        <v>320</v>
      </c>
      <c r="N451">
        <v>450</v>
      </c>
      <c r="O451">
        <v>139950</v>
      </c>
      <c r="P451">
        <v>2799</v>
      </c>
      <c r="Q451">
        <v>137151</v>
      </c>
      <c r="R451">
        <v>76.146000000000001</v>
      </c>
      <c r="S451">
        <v>99520</v>
      </c>
      <c r="T451">
        <v>37631</v>
      </c>
    </row>
    <row r="452" spans="1:20" x14ac:dyDescent="0.35">
      <c r="A452" t="s">
        <v>53</v>
      </c>
      <c r="B452" t="s">
        <v>42</v>
      </c>
      <c r="C452" t="s">
        <v>102</v>
      </c>
      <c r="D452" t="s">
        <v>288</v>
      </c>
      <c r="E452" t="s">
        <v>104</v>
      </c>
      <c r="F452" t="s">
        <v>180</v>
      </c>
      <c r="G452" t="s">
        <v>59</v>
      </c>
      <c r="H452" s="1">
        <v>44464</v>
      </c>
      <c r="I452" t="s">
        <v>27</v>
      </c>
      <c r="J452" t="s">
        <v>28</v>
      </c>
      <c r="K452">
        <v>2021</v>
      </c>
      <c r="L452">
        <v>1321</v>
      </c>
      <c r="M452">
        <v>320</v>
      </c>
      <c r="N452">
        <v>450</v>
      </c>
      <c r="O452">
        <v>594450</v>
      </c>
      <c r="P452">
        <v>11889</v>
      </c>
      <c r="Q452">
        <v>582561</v>
      </c>
      <c r="R452">
        <v>323.69400000000002</v>
      </c>
      <c r="S452">
        <v>422720</v>
      </c>
      <c r="T452">
        <v>159841</v>
      </c>
    </row>
    <row r="453" spans="1:20" x14ac:dyDescent="0.35">
      <c r="A453" t="s">
        <v>20</v>
      </c>
      <c r="B453" t="s">
        <v>21</v>
      </c>
      <c r="C453" t="s">
        <v>102</v>
      </c>
      <c r="D453" t="s">
        <v>276</v>
      </c>
      <c r="E453" t="s">
        <v>104</v>
      </c>
      <c r="F453" t="s">
        <v>217</v>
      </c>
      <c r="G453" t="s">
        <v>59</v>
      </c>
      <c r="H453" s="1">
        <v>44462</v>
      </c>
      <c r="I453" t="s">
        <v>27</v>
      </c>
      <c r="J453" t="s">
        <v>28</v>
      </c>
      <c r="K453">
        <v>2021</v>
      </c>
      <c r="L453">
        <v>2731</v>
      </c>
      <c r="M453">
        <v>320</v>
      </c>
      <c r="N453">
        <v>188</v>
      </c>
      <c r="O453">
        <v>513428</v>
      </c>
      <c r="P453">
        <v>10268.56</v>
      </c>
      <c r="Q453">
        <v>503159.44</v>
      </c>
      <c r="R453">
        <v>278.81</v>
      </c>
      <c r="S453">
        <v>873920</v>
      </c>
      <c r="T453">
        <v>-370760.56</v>
      </c>
    </row>
    <row r="454" spans="1:20" x14ac:dyDescent="0.35">
      <c r="A454" t="s">
        <v>53</v>
      </c>
      <c r="B454" t="s">
        <v>47</v>
      </c>
      <c r="C454" t="s">
        <v>102</v>
      </c>
      <c r="D454" t="s">
        <v>285</v>
      </c>
      <c r="E454" t="s">
        <v>104</v>
      </c>
      <c r="F454" t="s">
        <v>182</v>
      </c>
      <c r="G454" t="s">
        <v>59</v>
      </c>
      <c r="H454" s="1">
        <v>44346</v>
      </c>
      <c r="I454" t="s">
        <v>77</v>
      </c>
      <c r="J454" t="s">
        <v>78</v>
      </c>
      <c r="K454">
        <v>2021</v>
      </c>
      <c r="L454">
        <v>2299</v>
      </c>
      <c r="M454">
        <v>320</v>
      </c>
      <c r="N454">
        <v>450</v>
      </c>
      <c r="O454">
        <v>1034550</v>
      </c>
      <c r="P454">
        <v>20691</v>
      </c>
      <c r="Q454">
        <v>1013859</v>
      </c>
      <c r="R454">
        <v>563.30399999999997</v>
      </c>
      <c r="S454">
        <v>735680</v>
      </c>
      <c r="T454">
        <v>278179</v>
      </c>
    </row>
    <row r="455" spans="1:20" x14ac:dyDescent="0.35">
      <c r="A455" t="s">
        <v>37</v>
      </c>
      <c r="B455" t="s">
        <v>47</v>
      </c>
      <c r="C455" t="s">
        <v>55</v>
      </c>
      <c r="D455" t="s">
        <v>172</v>
      </c>
      <c r="E455" t="s">
        <v>57</v>
      </c>
      <c r="F455" t="s">
        <v>173</v>
      </c>
      <c r="G455" t="s">
        <v>59</v>
      </c>
      <c r="H455" s="1">
        <v>44295</v>
      </c>
      <c r="I455" t="s">
        <v>112</v>
      </c>
      <c r="J455" t="s">
        <v>78</v>
      </c>
      <c r="K455">
        <v>2021</v>
      </c>
      <c r="L455">
        <v>3096</v>
      </c>
      <c r="M455">
        <v>4</v>
      </c>
      <c r="N455">
        <v>30</v>
      </c>
      <c r="O455">
        <v>92880</v>
      </c>
      <c r="P455">
        <v>2786.4</v>
      </c>
      <c r="Q455">
        <v>90093.6</v>
      </c>
      <c r="R455">
        <v>50.052</v>
      </c>
      <c r="S455">
        <v>12384</v>
      </c>
      <c r="T455">
        <v>77709.600000000006</v>
      </c>
    </row>
    <row r="456" spans="1:20" x14ac:dyDescent="0.35">
      <c r="A456" t="s">
        <v>79</v>
      </c>
      <c r="B456" t="s">
        <v>38</v>
      </c>
      <c r="C456" t="s">
        <v>55</v>
      </c>
      <c r="D456" t="s">
        <v>293</v>
      </c>
      <c r="E456" t="s">
        <v>57</v>
      </c>
      <c r="F456" t="s">
        <v>240</v>
      </c>
      <c r="G456" t="s">
        <v>59</v>
      </c>
      <c r="H456" s="1">
        <v>44309</v>
      </c>
      <c r="I456" t="s">
        <v>112</v>
      </c>
      <c r="J456" t="s">
        <v>78</v>
      </c>
      <c r="K456">
        <v>2021</v>
      </c>
      <c r="L456">
        <v>2336</v>
      </c>
      <c r="M456">
        <v>4</v>
      </c>
      <c r="N456">
        <v>18</v>
      </c>
      <c r="O456">
        <v>42048</v>
      </c>
      <c r="P456">
        <v>1261.44</v>
      </c>
      <c r="Q456">
        <v>40786.559999999998</v>
      </c>
      <c r="R456">
        <v>22.663080000000001</v>
      </c>
      <c r="S456">
        <v>9344</v>
      </c>
      <c r="T456">
        <v>31442.559999999998</v>
      </c>
    </row>
    <row r="457" spans="1:20" x14ac:dyDescent="0.35">
      <c r="A457" t="s">
        <v>37</v>
      </c>
      <c r="B457" t="s">
        <v>65</v>
      </c>
      <c r="C457" t="s">
        <v>22</v>
      </c>
      <c r="D457" t="s">
        <v>92</v>
      </c>
      <c r="E457" t="s">
        <v>24</v>
      </c>
      <c r="F457" t="s">
        <v>93</v>
      </c>
      <c r="G457" t="s">
        <v>59</v>
      </c>
      <c r="H457" s="1">
        <v>44342</v>
      </c>
      <c r="I457" t="s">
        <v>77</v>
      </c>
      <c r="J457" t="s">
        <v>78</v>
      </c>
      <c r="K457">
        <v>2021</v>
      </c>
      <c r="L457">
        <v>2350</v>
      </c>
      <c r="M457">
        <v>6</v>
      </c>
      <c r="N457">
        <v>11</v>
      </c>
      <c r="O457">
        <v>25850</v>
      </c>
      <c r="P457">
        <v>775.5</v>
      </c>
      <c r="Q457">
        <v>25074.5</v>
      </c>
      <c r="R457">
        <v>13.29482</v>
      </c>
      <c r="S457">
        <v>14100</v>
      </c>
      <c r="T457">
        <v>10974.5</v>
      </c>
    </row>
    <row r="458" spans="1:20" x14ac:dyDescent="0.35">
      <c r="A458" t="s">
        <v>79</v>
      </c>
      <c r="B458" t="s">
        <v>21</v>
      </c>
      <c r="C458" t="s">
        <v>22</v>
      </c>
      <c r="D458" t="s">
        <v>251</v>
      </c>
      <c r="E458" t="s">
        <v>24</v>
      </c>
      <c r="F458" t="s">
        <v>188</v>
      </c>
      <c r="G458" t="s">
        <v>59</v>
      </c>
      <c r="H458" s="1">
        <v>44268</v>
      </c>
      <c r="I458" t="s">
        <v>109</v>
      </c>
      <c r="J458" t="s">
        <v>36</v>
      </c>
      <c r="K458">
        <v>2021</v>
      </c>
      <c r="L458">
        <v>2281</v>
      </c>
      <c r="M458">
        <v>6</v>
      </c>
      <c r="N458">
        <v>18</v>
      </c>
      <c r="O458">
        <v>41058</v>
      </c>
      <c r="P458">
        <v>1231.74</v>
      </c>
      <c r="Q458">
        <v>39826.26</v>
      </c>
      <c r="R458">
        <v>22.12764</v>
      </c>
      <c r="S458">
        <v>13686</v>
      </c>
      <c r="T458">
        <v>26140.260000000002</v>
      </c>
    </row>
    <row r="459" spans="1:20" x14ac:dyDescent="0.35">
      <c r="A459" t="s">
        <v>53</v>
      </c>
      <c r="B459" t="s">
        <v>21</v>
      </c>
      <c r="C459" t="s">
        <v>31</v>
      </c>
      <c r="D459" t="s">
        <v>216</v>
      </c>
      <c r="E459" t="s">
        <v>33</v>
      </c>
      <c r="F459" t="s">
        <v>217</v>
      </c>
      <c r="G459" t="s">
        <v>59</v>
      </c>
      <c r="H459" s="1">
        <v>44341</v>
      </c>
      <c r="I459" t="s">
        <v>77</v>
      </c>
      <c r="J459" t="s">
        <v>78</v>
      </c>
      <c r="K459">
        <v>2021</v>
      </c>
      <c r="L459">
        <v>2921</v>
      </c>
      <c r="M459">
        <v>12</v>
      </c>
      <c r="N459">
        <v>450</v>
      </c>
      <c r="O459">
        <v>1314450</v>
      </c>
      <c r="P459">
        <v>39433.5</v>
      </c>
      <c r="Q459">
        <v>1275016.5</v>
      </c>
      <c r="R459">
        <v>708.43949999999995</v>
      </c>
      <c r="S459">
        <v>35052</v>
      </c>
      <c r="T459">
        <v>1239964.5</v>
      </c>
    </row>
    <row r="460" spans="1:20" x14ac:dyDescent="0.35">
      <c r="A460" t="s">
        <v>20</v>
      </c>
      <c r="B460" t="s">
        <v>42</v>
      </c>
      <c r="C460" t="s">
        <v>31</v>
      </c>
      <c r="D460" t="s">
        <v>73</v>
      </c>
      <c r="E460" t="s">
        <v>33</v>
      </c>
      <c r="F460" t="s">
        <v>74</v>
      </c>
      <c r="G460" t="s">
        <v>59</v>
      </c>
      <c r="H460" s="1">
        <v>44361</v>
      </c>
      <c r="I460" t="s">
        <v>144</v>
      </c>
      <c r="J460" t="s">
        <v>78</v>
      </c>
      <c r="K460">
        <v>2021</v>
      </c>
      <c r="L460">
        <v>1884</v>
      </c>
      <c r="M460">
        <v>12</v>
      </c>
      <c r="N460">
        <v>188</v>
      </c>
      <c r="O460">
        <v>354192</v>
      </c>
      <c r="P460">
        <v>10625.76</v>
      </c>
      <c r="Q460">
        <v>343566.24</v>
      </c>
      <c r="R460">
        <v>190.36250000000001</v>
      </c>
      <c r="S460">
        <v>22608</v>
      </c>
      <c r="T460">
        <v>320958.24</v>
      </c>
    </row>
    <row r="461" spans="1:20" x14ac:dyDescent="0.35">
      <c r="A461" t="s">
        <v>20</v>
      </c>
      <c r="B461" t="s">
        <v>42</v>
      </c>
      <c r="C461" t="s">
        <v>31</v>
      </c>
      <c r="D461" t="s">
        <v>73</v>
      </c>
      <c r="E461" t="s">
        <v>33</v>
      </c>
      <c r="F461" t="s">
        <v>74</v>
      </c>
      <c r="G461" t="s">
        <v>59</v>
      </c>
      <c r="H461" s="1">
        <v>44394</v>
      </c>
      <c r="I461" t="s">
        <v>89</v>
      </c>
      <c r="J461" t="s">
        <v>28</v>
      </c>
      <c r="K461">
        <v>2021</v>
      </c>
      <c r="L461">
        <v>2047</v>
      </c>
      <c r="M461">
        <v>12</v>
      </c>
      <c r="N461">
        <v>188</v>
      </c>
      <c r="O461">
        <v>384836</v>
      </c>
      <c r="P461">
        <v>11545.08</v>
      </c>
      <c r="Q461">
        <v>373290.92</v>
      </c>
      <c r="R461">
        <v>206.85249999999999</v>
      </c>
      <c r="S461">
        <v>24564</v>
      </c>
      <c r="T461">
        <v>348726.92</v>
      </c>
    </row>
    <row r="462" spans="1:20" x14ac:dyDescent="0.35">
      <c r="A462" t="s">
        <v>20</v>
      </c>
      <c r="B462" t="s">
        <v>42</v>
      </c>
      <c r="C462" t="s">
        <v>43</v>
      </c>
      <c r="D462" t="s">
        <v>44</v>
      </c>
      <c r="E462" t="s">
        <v>45</v>
      </c>
      <c r="F462" t="s">
        <v>46</v>
      </c>
      <c r="G462" t="s">
        <v>59</v>
      </c>
      <c r="H462" s="1">
        <v>44238</v>
      </c>
      <c r="I462" t="s">
        <v>52</v>
      </c>
      <c r="J462" t="s">
        <v>36</v>
      </c>
      <c r="K462">
        <v>2021</v>
      </c>
      <c r="L462">
        <v>2411</v>
      </c>
      <c r="M462">
        <v>148</v>
      </c>
      <c r="N462">
        <v>188</v>
      </c>
      <c r="O462">
        <v>453268</v>
      </c>
      <c r="P462">
        <v>13598.039999999999</v>
      </c>
      <c r="Q462">
        <v>439669.96</v>
      </c>
      <c r="R462">
        <v>243.59125</v>
      </c>
      <c r="S462">
        <v>356828</v>
      </c>
      <c r="T462">
        <v>82841.960000000021</v>
      </c>
    </row>
    <row r="463" spans="1:20" x14ac:dyDescent="0.35">
      <c r="A463" t="s">
        <v>53</v>
      </c>
      <c r="B463" t="s">
        <v>54</v>
      </c>
      <c r="C463" t="s">
        <v>48</v>
      </c>
      <c r="D463" t="s">
        <v>267</v>
      </c>
      <c r="E463" t="s">
        <v>50</v>
      </c>
      <c r="F463" t="s">
        <v>215</v>
      </c>
      <c r="G463" t="s">
        <v>59</v>
      </c>
      <c r="H463" s="1">
        <v>44310</v>
      </c>
      <c r="I463" t="s">
        <v>112</v>
      </c>
      <c r="J463" t="s">
        <v>78</v>
      </c>
      <c r="K463">
        <v>2021</v>
      </c>
      <c r="L463">
        <v>3413</v>
      </c>
      <c r="M463">
        <v>308</v>
      </c>
      <c r="N463">
        <v>450</v>
      </c>
      <c r="O463">
        <v>1535850</v>
      </c>
      <c r="P463">
        <v>46075.5</v>
      </c>
      <c r="Q463">
        <v>1489774.5</v>
      </c>
      <c r="R463">
        <v>827.60400000000004</v>
      </c>
      <c r="S463">
        <v>1051204</v>
      </c>
      <c r="T463">
        <v>438570.5</v>
      </c>
    </row>
    <row r="464" spans="1:20" x14ac:dyDescent="0.35">
      <c r="A464" t="s">
        <v>29</v>
      </c>
      <c r="B464" t="s">
        <v>47</v>
      </c>
      <c r="C464" t="s">
        <v>22</v>
      </c>
      <c r="D464" t="s">
        <v>194</v>
      </c>
      <c r="E464" t="s">
        <v>24</v>
      </c>
      <c r="F464" t="s">
        <v>195</v>
      </c>
      <c r="G464" t="s">
        <v>59</v>
      </c>
      <c r="H464" s="1">
        <v>44307</v>
      </c>
      <c r="I464" t="s">
        <v>112</v>
      </c>
      <c r="J464" t="s">
        <v>78</v>
      </c>
      <c r="K464">
        <v>2021</v>
      </c>
      <c r="L464">
        <v>2437</v>
      </c>
      <c r="M464">
        <v>6</v>
      </c>
      <c r="N464">
        <v>23</v>
      </c>
      <c r="O464">
        <v>56051</v>
      </c>
      <c r="P464">
        <v>2242.0399999999995</v>
      </c>
      <c r="Q464">
        <v>53808.959999999999</v>
      </c>
      <c r="R464">
        <v>29.246400000000001</v>
      </c>
      <c r="S464">
        <v>14622</v>
      </c>
      <c r="T464">
        <v>39186.959999999999</v>
      </c>
    </row>
    <row r="465" spans="1:20" x14ac:dyDescent="0.35">
      <c r="A465" t="s">
        <v>37</v>
      </c>
      <c r="B465" t="s">
        <v>21</v>
      </c>
      <c r="C465" t="s">
        <v>55</v>
      </c>
      <c r="D465" t="s">
        <v>125</v>
      </c>
      <c r="E465" t="s">
        <v>57</v>
      </c>
      <c r="F465" t="s">
        <v>126</v>
      </c>
      <c r="G465" t="s">
        <v>59</v>
      </c>
      <c r="H465" s="1">
        <v>44356</v>
      </c>
      <c r="I465" t="s">
        <v>144</v>
      </c>
      <c r="J465" t="s">
        <v>78</v>
      </c>
      <c r="K465">
        <v>2021</v>
      </c>
      <c r="L465">
        <v>329</v>
      </c>
      <c r="M465">
        <v>4</v>
      </c>
      <c r="N465">
        <v>525</v>
      </c>
      <c r="O465">
        <v>172725</v>
      </c>
      <c r="P465">
        <v>6909</v>
      </c>
      <c r="Q465">
        <v>165816</v>
      </c>
      <c r="R465">
        <v>92.063999999999993</v>
      </c>
      <c r="S465">
        <v>1316</v>
      </c>
      <c r="T465">
        <v>164500</v>
      </c>
    </row>
    <row r="466" spans="1:20" x14ac:dyDescent="0.35">
      <c r="A466" t="s">
        <v>53</v>
      </c>
      <c r="B466" t="s">
        <v>47</v>
      </c>
      <c r="C466" t="s">
        <v>22</v>
      </c>
      <c r="D466" t="s">
        <v>290</v>
      </c>
      <c r="E466" t="s">
        <v>24</v>
      </c>
      <c r="F466" t="s">
        <v>142</v>
      </c>
      <c r="G466" t="s">
        <v>59</v>
      </c>
      <c r="H466" s="1">
        <v>44336</v>
      </c>
      <c r="I466" t="s">
        <v>77</v>
      </c>
      <c r="J466" t="s">
        <v>78</v>
      </c>
      <c r="K466">
        <v>2021</v>
      </c>
      <c r="L466">
        <v>2231</v>
      </c>
      <c r="M466">
        <v>6</v>
      </c>
      <c r="N466">
        <v>450</v>
      </c>
      <c r="O466">
        <v>1003950</v>
      </c>
      <c r="P466">
        <v>40158</v>
      </c>
      <c r="Q466">
        <v>963792</v>
      </c>
      <c r="R466">
        <v>535.39200000000005</v>
      </c>
      <c r="S466">
        <v>13386</v>
      </c>
      <c r="T466">
        <v>950406</v>
      </c>
    </row>
    <row r="467" spans="1:20" x14ac:dyDescent="0.35">
      <c r="A467" t="s">
        <v>53</v>
      </c>
      <c r="B467" t="s">
        <v>47</v>
      </c>
      <c r="C467" t="s">
        <v>22</v>
      </c>
      <c r="D467" t="s">
        <v>290</v>
      </c>
      <c r="E467" t="s">
        <v>24</v>
      </c>
      <c r="F467" t="s">
        <v>142</v>
      </c>
      <c r="G467" t="s">
        <v>59</v>
      </c>
      <c r="H467" s="1">
        <v>44353</v>
      </c>
      <c r="I467" t="s">
        <v>144</v>
      </c>
      <c r="J467" t="s">
        <v>78</v>
      </c>
      <c r="K467">
        <v>2021</v>
      </c>
      <c r="L467">
        <v>2425</v>
      </c>
      <c r="M467">
        <v>6</v>
      </c>
      <c r="N467">
        <v>450</v>
      </c>
      <c r="O467">
        <v>1091250</v>
      </c>
      <c r="P467">
        <v>43650</v>
      </c>
      <c r="Q467">
        <v>1047600</v>
      </c>
      <c r="R467">
        <v>582.048</v>
      </c>
      <c r="S467">
        <v>14550</v>
      </c>
      <c r="T467">
        <v>1033050</v>
      </c>
    </row>
    <row r="468" spans="1:20" x14ac:dyDescent="0.35">
      <c r="A468" t="s">
        <v>37</v>
      </c>
      <c r="B468" t="s">
        <v>54</v>
      </c>
      <c r="C468" t="s">
        <v>31</v>
      </c>
      <c r="D468" t="s">
        <v>183</v>
      </c>
      <c r="E468" t="s">
        <v>33</v>
      </c>
      <c r="F468" t="s">
        <v>184</v>
      </c>
      <c r="G468" t="s">
        <v>59</v>
      </c>
      <c r="H468" s="1">
        <v>44404</v>
      </c>
      <c r="I468" t="s">
        <v>89</v>
      </c>
      <c r="J468" t="s">
        <v>28</v>
      </c>
      <c r="K468">
        <v>2021</v>
      </c>
      <c r="L468">
        <v>4140</v>
      </c>
      <c r="M468">
        <v>12</v>
      </c>
      <c r="N468">
        <v>525</v>
      </c>
      <c r="O468">
        <v>2173500</v>
      </c>
      <c r="P468">
        <v>86940</v>
      </c>
      <c r="Q468">
        <v>2086560</v>
      </c>
      <c r="R468">
        <v>1159.2</v>
      </c>
      <c r="S468">
        <v>49680</v>
      </c>
      <c r="T468">
        <v>2036880</v>
      </c>
    </row>
    <row r="469" spans="1:20" x14ac:dyDescent="0.35">
      <c r="A469" t="s">
        <v>20</v>
      </c>
      <c r="B469" t="s">
        <v>54</v>
      </c>
      <c r="C469" t="s">
        <v>31</v>
      </c>
      <c r="D469" t="s">
        <v>115</v>
      </c>
      <c r="E469" t="s">
        <v>33</v>
      </c>
      <c r="F469" t="s">
        <v>116</v>
      </c>
      <c r="G469" t="s">
        <v>59</v>
      </c>
      <c r="H469" s="1">
        <v>44225</v>
      </c>
      <c r="I469" t="s">
        <v>35</v>
      </c>
      <c r="J469" t="s">
        <v>36</v>
      </c>
      <c r="K469">
        <v>2021</v>
      </c>
      <c r="L469">
        <v>3586</v>
      </c>
      <c r="M469">
        <v>12</v>
      </c>
      <c r="N469">
        <v>188</v>
      </c>
      <c r="O469">
        <v>674168</v>
      </c>
      <c r="P469">
        <v>26966.720000000001</v>
      </c>
      <c r="Q469">
        <v>647201.28000000003</v>
      </c>
      <c r="R469">
        <v>358.56</v>
      </c>
      <c r="S469">
        <v>43032</v>
      </c>
      <c r="T469">
        <v>604169.28</v>
      </c>
    </row>
    <row r="470" spans="1:20" x14ac:dyDescent="0.35">
      <c r="A470" t="s">
        <v>29</v>
      </c>
      <c r="B470" t="s">
        <v>84</v>
      </c>
      <c r="C470" t="s">
        <v>31</v>
      </c>
      <c r="D470" t="s">
        <v>177</v>
      </c>
      <c r="E470" t="s">
        <v>33</v>
      </c>
      <c r="F470" t="s">
        <v>178</v>
      </c>
      <c r="G470" t="s">
        <v>59</v>
      </c>
      <c r="H470" s="1">
        <v>44291</v>
      </c>
      <c r="I470" t="s">
        <v>112</v>
      </c>
      <c r="J470" t="s">
        <v>78</v>
      </c>
      <c r="K470">
        <v>2021</v>
      </c>
      <c r="L470">
        <v>262</v>
      </c>
      <c r="M470">
        <v>12</v>
      </c>
      <c r="N470">
        <v>23</v>
      </c>
      <c r="O470">
        <v>6026</v>
      </c>
      <c r="P470">
        <v>241.04</v>
      </c>
      <c r="Q470">
        <v>5784.96</v>
      </c>
      <c r="R470">
        <v>3.1391999999999998</v>
      </c>
      <c r="S470">
        <v>3144</v>
      </c>
      <c r="T470">
        <v>2640.96</v>
      </c>
    </row>
    <row r="471" spans="1:20" x14ac:dyDescent="0.35">
      <c r="A471" t="s">
        <v>37</v>
      </c>
      <c r="B471" t="s">
        <v>54</v>
      </c>
      <c r="C471" t="s">
        <v>31</v>
      </c>
      <c r="D471" t="s">
        <v>183</v>
      </c>
      <c r="E471" t="s">
        <v>33</v>
      </c>
      <c r="F471" t="s">
        <v>184</v>
      </c>
      <c r="G471" t="s">
        <v>59</v>
      </c>
      <c r="H471" s="1">
        <v>44271</v>
      </c>
      <c r="I471" t="s">
        <v>109</v>
      </c>
      <c r="J471" t="s">
        <v>36</v>
      </c>
      <c r="K471">
        <v>2021</v>
      </c>
      <c r="L471">
        <v>1267</v>
      </c>
      <c r="M471">
        <v>12</v>
      </c>
      <c r="N471">
        <v>30</v>
      </c>
      <c r="O471">
        <v>38010</v>
      </c>
      <c r="P471">
        <v>1520.4</v>
      </c>
      <c r="Q471">
        <v>36489.599999999999</v>
      </c>
      <c r="R471">
        <v>20.275200000000002</v>
      </c>
      <c r="S471">
        <v>15204</v>
      </c>
      <c r="T471">
        <v>21285.599999999999</v>
      </c>
    </row>
    <row r="472" spans="1:20" x14ac:dyDescent="0.35">
      <c r="A472" t="s">
        <v>37</v>
      </c>
      <c r="B472" t="s">
        <v>84</v>
      </c>
      <c r="C472" t="s">
        <v>43</v>
      </c>
      <c r="D472" t="s">
        <v>131</v>
      </c>
      <c r="E472" t="s">
        <v>45</v>
      </c>
      <c r="F472" t="s">
        <v>132</v>
      </c>
      <c r="G472" t="s">
        <v>59</v>
      </c>
      <c r="H472" s="1">
        <v>44334</v>
      </c>
      <c r="I472" t="s">
        <v>77</v>
      </c>
      <c r="J472" t="s">
        <v>78</v>
      </c>
      <c r="K472">
        <v>2021</v>
      </c>
      <c r="L472">
        <v>2612</v>
      </c>
      <c r="M472">
        <v>148</v>
      </c>
      <c r="N472">
        <v>525</v>
      </c>
      <c r="O472">
        <v>1371300</v>
      </c>
      <c r="P472">
        <v>54852</v>
      </c>
      <c r="Q472">
        <v>1316448</v>
      </c>
      <c r="R472">
        <v>731.47199999999998</v>
      </c>
      <c r="S472">
        <v>386576</v>
      </c>
      <c r="T472">
        <v>929872</v>
      </c>
    </row>
    <row r="473" spans="1:20" x14ac:dyDescent="0.35">
      <c r="A473" t="s">
        <v>20</v>
      </c>
      <c r="B473" t="s">
        <v>38</v>
      </c>
      <c r="C473" t="s">
        <v>102</v>
      </c>
      <c r="D473" t="s">
        <v>164</v>
      </c>
      <c r="E473" t="s">
        <v>104</v>
      </c>
      <c r="F473" t="s">
        <v>165</v>
      </c>
      <c r="G473" t="s">
        <v>59</v>
      </c>
      <c r="H473" s="1">
        <v>44329</v>
      </c>
      <c r="I473" t="s">
        <v>77</v>
      </c>
      <c r="J473" t="s">
        <v>78</v>
      </c>
      <c r="K473">
        <v>2021</v>
      </c>
      <c r="L473">
        <v>1289</v>
      </c>
      <c r="M473">
        <v>320</v>
      </c>
      <c r="N473">
        <v>188</v>
      </c>
      <c r="O473">
        <v>242332</v>
      </c>
      <c r="P473">
        <v>9693.2800000000007</v>
      </c>
      <c r="Q473">
        <v>232638.72</v>
      </c>
      <c r="R473">
        <v>128.88</v>
      </c>
      <c r="S473">
        <v>412480</v>
      </c>
      <c r="T473">
        <v>-179841.28</v>
      </c>
    </row>
    <row r="474" spans="1:20" x14ac:dyDescent="0.35">
      <c r="A474" t="s">
        <v>37</v>
      </c>
      <c r="B474" t="s">
        <v>47</v>
      </c>
      <c r="C474" t="s">
        <v>31</v>
      </c>
      <c r="D474" t="s">
        <v>149</v>
      </c>
      <c r="E474" t="s">
        <v>33</v>
      </c>
      <c r="F474" t="s">
        <v>150</v>
      </c>
      <c r="G474" t="s">
        <v>108</v>
      </c>
      <c r="H474" s="1">
        <v>44293</v>
      </c>
      <c r="I474" t="s">
        <v>112</v>
      </c>
      <c r="J474" t="s">
        <v>78</v>
      </c>
      <c r="K474">
        <v>2021</v>
      </c>
      <c r="L474">
        <v>1646</v>
      </c>
      <c r="M474">
        <v>12</v>
      </c>
      <c r="N474">
        <v>11</v>
      </c>
      <c r="O474">
        <v>18106</v>
      </c>
      <c r="P474">
        <v>905.3</v>
      </c>
      <c r="Q474">
        <v>17200.7</v>
      </c>
      <c r="R474">
        <v>9.1237999999999992</v>
      </c>
      <c r="S474">
        <v>19752</v>
      </c>
      <c r="T474">
        <v>-2551.2999999999993</v>
      </c>
    </row>
    <row r="475" spans="1:20" x14ac:dyDescent="0.35">
      <c r="A475" t="s">
        <v>37</v>
      </c>
      <c r="B475" t="s">
        <v>47</v>
      </c>
      <c r="C475" t="s">
        <v>31</v>
      </c>
      <c r="D475" t="s">
        <v>94</v>
      </c>
      <c r="E475" t="s">
        <v>33</v>
      </c>
      <c r="F475" t="s">
        <v>95</v>
      </c>
      <c r="G475" t="s">
        <v>108</v>
      </c>
      <c r="H475" s="1">
        <v>44230</v>
      </c>
      <c r="I475" t="s">
        <v>52</v>
      </c>
      <c r="J475" t="s">
        <v>36</v>
      </c>
      <c r="K475">
        <v>2021</v>
      </c>
      <c r="L475">
        <v>3227</v>
      </c>
      <c r="M475">
        <v>12</v>
      </c>
      <c r="N475">
        <v>11</v>
      </c>
      <c r="O475">
        <v>35497</v>
      </c>
      <c r="P475">
        <v>1774.85</v>
      </c>
      <c r="Q475">
        <v>33722.15</v>
      </c>
      <c r="R475">
        <v>17.88185</v>
      </c>
      <c r="S475">
        <v>38724</v>
      </c>
      <c r="T475">
        <v>-5001.8499999999985</v>
      </c>
    </row>
    <row r="476" spans="1:20" x14ac:dyDescent="0.35">
      <c r="A476" t="s">
        <v>37</v>
      </c>
      <c r="B476" t="s">
        <v>65</v>
      </c>
      <c r="C476" t="s">
        <v>102</v>
      </c>
      <c r="D476" t="s">
        <v>236</v>
      </c>
      <c r="E476" t="s">
        <v>104</v>
      </c>
      <c r="F476" t="s">
        <v>126</v>
      </c>
      <c r="G476" t="s">
        <v>108</v>
      </c>
      <c r="H476" s="1">
        <v>44212</v>
      </c>
      <c r="I476" t="s">
        <v>35</v>
      </c>
      <c r="J476" t="s">
        <v>36</v>
      </c>
      <c r="K476">
        <v>2021</v>
      </c>
      <c r="L476">
        <v>2020</v>
      </c>
      <c r="M476">
        <v>320</v>
      </c>
      <c r="N476">
        <v>11</v>
      </c>
      <c r="O476">
        <v>22220</v>
      </c>
      <c r="P476">
        <v>1111</v>
      </c>
      <c r="Q476">
        <v>21109</v>
      </c>
      <c r="R476">
        <v>11.19195</v>
      </c>
      <c r="S476">
        <v>646400</v>
      </c>
      <c r="T476">
        <v>-625291</v>
      </c>
    </row>
    <row r="477" spans="1:20" x14ac:dyDescent="0.35">
      <c r="A477" t="s">
        <v>79</v>
      </c>
      <c r="B477" t="s">
        <v>38</v>
      </c>
      <c r="C477" t="s">
        <v>102</v>
      </c>
      <c r="D477" t="s">
        <v>298</v>
      </c>
      <c r="E477" t="s">
        <v>104</v>
      </c>
      <c r="F477" t="s">
        <v>260</v>
      </c>
      <c r="G477" t="s">
        <v>108</v>
      </c>
      <c r="H477" s="1">
        <v>44197</v>
      </c>
      <c r="I477" t="s">
        <v>35</v>
      </c>
      <c r="J477" t="s">
        <v>36</v>
      </c>
      <c r="K477">
        <v>2021</v>
      </c>
      <c r="L477">
        <v>1348</v>
      </c>
      <c r="M477">
        <v>320</v>
      </c>
      <c r="N477">
        <v>18</v>
      </c>
      <c r="O477">
        <v>24264</v>
      </c>
      <c r="P477">
        <v>1213.1999999999998</v>
      </c>
      <c r="Q477">
        <v>23050.799999999999</v>
      </c>
      <c r="R477">
        <v>12.802200000000001</v>
      </c>
      <c r="S477">
        <v>431360</v>
      </c>
      <c r="T477">
        <v>-408309.2</v>
      </c>
    </row>
    <row r="478" spans="1:20" x14ac:dyDescent="0.35">
      <c r="A478" t="s">
        <v>79</v>
      </c>
      <c r="B478" t="s">
        <v>47</v>
      </c>
      <c r="C478" t="s">
        <v>55</v>
      </c>
      <c r="D478" t="s">
        <v>294</v>
      </c>
      <c r="E478" t="s">
        <v>57</v>
      </c>
      <c r="F478" t="s">
        <v>195</v>
      </c>
      <c r="G478" t="s">
        <v>108</v>
      </c>
      <c r="H478" s="1">
        <v>44209</v>
      </c>
      <c r="I478" t="s">
        <v>35</v>
      </c>
      <c r="J478" t="s">
        <v>36</v>
      </c>
      <c r="K478">
        <v>2021</v>
      </c>
      <c r="L478">
        <v>2238</v>
      </c>
      <c r="M478">
        <v>4</v>
      </c>
      <c r="N478">
        <v>18</v>
      </c>
      <c r="O478">
        <v>40284</v>
      </c>
      <c r="P478">
        <v>2014.2</v>
      </c>
      <c r="Q478">
        <v>38269.800000000003</v>
      </c>
      <c r="R478">
        <v>21.260999999999999</v>
      </c>
      <c r="S478">
        <v>8952</v>
      </c>
      <c r="T478">
        <v>29317.800000000003</v>
      </c>
    </row>
    <row r="479" spans="1:20" x14ac:dyDescent="0.35">
      <c r="A479" t="s">
        <v>37</v>
      </c>
      <c r="B479" t="s">
        <v>65</v>
      </c>
      <c r="C479" t="s">
        <v>55</v>
      </c>
      <c r="D479" t="s">
        <v>70</v>
      </c>
      <c r="E479" t="s">
        <v>57</v>
      </c>
      <c r="F479" t="s">
        <v>71</v>
      </c>
      <c r="G479" t="s">
        <v>108</v>
      </c>
      <c r="H479" s="1">
        <v>44416</v>
      </c>
      <c r="I479" t="s">
        <v>41</v>
      </c>
      <c r="J479" t="s">
        <v>28</v>
      </c>
      <c r="K479">
        <v>2021</v>
      </c>
      <c r="L479">
        <v>2984</v>
      </c>
      <c r="M479">
        <v>4</v>
      </c>
      <c r="N479">
        <v>11</v>
      </c>
      <c r="O479">
        <v>32824</v>
      </c>
      <c r="P479">
        <v>1641.2</v>
      </c>
      <c r="Q479">
        <v>31182.799999999999</v>
      </c>
      <c r="R479">
        <v>16.538550000000001</v>
      </c>
      <c r="S479">
        <v>11936</v>
      </c>
      <c r="T479">
        <v>19246.8</v>
      </c>
    </row>
    <row r="480" spans="1:20" x14ac:dyDescent="0.35">
      <c r="A480" t="s">
        <v>20</v>
      </c>
      <c r="B480" t="s">
        <v>54</v>
      </c>
      <c r="C480" t="s">
        <v>31</v>
      </c>
      <c r="D480" t="s">
        <v>243</v>
      </c>
      <c r="E480" t="s">
        <v>33</v>
      </c>
      <c r="F480" t="s">
        <v>163</v>
      </c>
      <c r="G480" t="s">
        <v>108</v>
      </c>
      <c r="H480" s="1">
        <v>44332</v>
      </c>
      <c r="I480" t="s">
        <v>77</v>
      </c>
      <c r="J480" t="s">
        <v>78</v>
      </c>
      <c r="K480">
        <v>2021</v>
      </c>
      <c r="L480">
        <v>3590</v>
      </c>
      <c r="M480">
        <v>12</v>
      </c>
      <c r="N480">
        <v>188</v>
      </c>
      <c r="O480">
        <v>674920</v>
      </c>
      <c r="P480">
        <v>33746</v>
      </c>
      <c r="Q480">
        <v>641174</v>
      </c>
      <c r="R480">
        <v>355.3</v>
      </c>
      <c r="S480">
        <v>43080</v>
      </c>
      <c r="T480">
        <v>598094</v>
      </c>
    </row>
    <row r="481" spans="1:20" x14ac:dyDescent="0.35">
      <c r="A481" t="s">
        <v>37</v>
      </c>
      <c r="B481" t="s">
        <v>54</v>
      </c>
      <c r="C481" t="s">
        <v>31</v>
      </c>
      <c r="D481" t="s">
        <v>183</v>
      </c>
      <c r="E481" t="s">
        <v>33</v>
      </c>
      <c r="F481" t="s">
        <v>184</v>
      </c>
      <c r="G481" t="s">
        <v>108</v>
      </c>
      <c r="H481" s="1">
        <v>44280</v>
      </c>
      <c r="I481" t="s">
        <v>109</v>
      </c>
      <c r="J481" t="s">
        <v>36</v>
      </c>
      <c r="K481">
        <v>2021</v>
      </c>
      <c r="L481">
        <v>2792</v>
      </c>
      <c r="M481">
        <v>12</v>
      </c>
      <c r="N481">
        <v>11</v>
      </c>
      <c r="O481">
        <v>30712</v>
      </c>
      <c r="P481">
        <v>1535.6000000000001</v>
      </c>
      <c r="Q481">
        <v>29176.400000000001</v>
      </c>
      <c r="R481">
        <v>15.474549999999999</v>
      </c>
      <c r="S481">
        <v>33504</v>
      </c>
      <c r="T481">
        <v>-4327.5999999999985</v>
      </c>
    </row>
    <row r="482" spans="1:20" x14ac:dyDescent="0.35">
      <c r="A482" t="s">
        <v>29</v>
      </c>
      <c r="B482" t="s">
        <v>54</v>
      </c>
      <c r="C482" t="s">
        <v>43</v>
      </c>
      <c r="D482" t="s">
        <v>162</v>
      </c>
      <c r="E482" t="s">
        <v>45</v>
      </c>
      <c r="F482" t="s">
        <v>163</v>
      </c>
      <c r="G482" t="s">
        <v>108</v>
      </c>
      <c r="H482" s="1">
        <v>44397</v>
      </c>
      <c r="I482" t="s">
        <v>89</v>
      </c>
      <c r="J482" t="s">
        <v>28</v>
      </c>
      <c r="K482">
        <v>2021</v>
      </c>
      <c r="L482">
        <v>3433</v>
      </c>
      <c r="M482">
        <v>148</v>
      </c>
      <c r="N482">
        <v>23</v>
      </c>
      <c r="O482">
        <v>78959</v>
      </c>
      <c r="P482">
        <v>3947.9500000000003</v>
      </c>
      <c r="Q482">
        <v>75011.05</v>
      </c>
      <c r="R482">
        <v>40.76925</v>
      </c>
      <c r="S482">
        <v>508084</v>
      </c>
      <c r="T482">
        <v>-433072.95</v>
      </c>
    </row>
    <row r="483" spans="1:20" x14ac:dyDescent="0.35">
      <c r="A483" t="s">
        <v>37</v>
      </c>
      <c r="B483" t="s">
        <v>21</v>
      </c>
      <c r="C483" t="s">
        <v>43</v>
      </c>
      <c r="D483" t="s">
        <v>245</v>
      </c>
      <c r="E483" t="s">
        <v>45</v>
      </c>
      <c r="F483" t="s">
        <v>246</v>
      </c>
      <c r="G483" t="s">
        <v>108</v>
      </c>
      <c r="H483" s="1">
        <v>44219</v>
      </c>
      <c r="I483" t="s">
        <v>35</v>
      </c>
      <c r="J483" t="s">
        <v>36</v>
      </c>
      <c r="K483">
        <v>2021</v>
      </c>
      <c r="L483">
        <v>722</v>
      </c>
      <c r="M483">
        <v>148</v>
      </c>
      <c r="N483">
        <v>525</v>
      </c>
      <c r="O483">
        <v>379050</v>
      </c>
      <c r="P483">
        <v>18952.5</v>
      </c>
      <c r="Q483">
        <v>360097.5</v>
      </c>
      <c r="R483">
        <v>200.16499999999999</v>
      </c>
      <c r="S483">
        <v>106856</v>
      </c>
      <c r="T483">
        <v>253241.5</v>
      </c>
    </row>
    <row r="484" spans="1:20" x14ac:dyDescent="0.35">
      <c r="A484" t="s">
        <v>20</v>
      </c>
      <c r="B484" t="s">
        <v>42</v>
      </c>
      <c r="C484" t="s">
        <v>43</v>
      </c>
      <c r="D484" t="s">
        <v>185</v>
      </c>
      <c r="E484" t="s">
        <v>45</v>
      </c>
      <c r="F484" t="s">
        <v>186</v>
      </c>
      <c r="G484" t="s">
        <v>108</v>
      </c>
      <c r="H484" s="1">
        <v>44313</v>
      </c>
      <c r="I484" t="s">
        <v>112</v>
      </c>
      <c r="J484" t="s">
        <v>78</v>
      </c>
      <c r="K484">
        <v>2021</v>
      </c>
      <c r="L484">
        <v>1033</v>
      </c>
      <c r="M484">
        <v>148</v>
      </c>
      <c r="N484">
        <v>188</v>
      </c>
      <c r="O484">
        <v>194204</v>
      </c>
      <c r="P484">
        <v>9710.2000000000007</v>
      </c>
      <c r="Q484">
        <v>184493.8</v>
      </c>
      <c r="R484">
        <v>102.24375000000001</v>
      </c>
      <c r="S484">
        <v>152884</v>
      </c>
      <c r="T484">
        <v>31609.799999999988</v>
      </c>
    </row>
    <row r="485" spans="1:20" x14ac:dyDescent="0.35">
      <c r="A485" t="s">
        <v>53</v>
      </c>
      <c r="B485" t="s">
        <v>84</v>
      </c>
      <c r="C485" t="s">
        <v>43</v>
      </c>
      <c r="D485" t="s">
        <v>296</v>
      </c>
      <c r="E485" t="s">
        <v>45</v>
      </c>
      <c r="F485" t="s">
        <v>281</v>
      </c>
      <c r="G485" t="s">
        <v>108</v>
      </c>
      <c r="H485" s="1">
        <v>44341</v>
      </c>
      <c r="I485" t="s">
        <v>77</v>
      </c>
      <c r="J485" t="s">
        <v>78</v>
      </c>
      <c r="K485">
        <v>2021</v>
      </c>
      <c r="L485">
        <v>1500</v>
      </c>
      <c r="M485">
        <v>148</v>
      </c>
      <c r="N485">
        <v>450</v>
      </c>
      <c r="O485">
        <v>675000</v>
      </c>
      <c r="P485">
        <v>33750</v>
      </c>
      <c r="Q485">
        <v>641250</v>
      </c>
      <c r="R485">
        <v>356.25</v>
      </c>
      <c r="S485">
        <v>222000</v>
      </c>
      <c r="T485">
        <v>419250</v>
      </c>
    </row>
    <row r="486" spans="1:20" x14ac:dyDescent="0.35">
      <c r="A486" t="s">
        <v>37</v>
      </c>
      <c r="B486" t="s">
        <v>21</v>
      </c>
      <c r="C486" t="s">
        <v>48</v>
      </c>
      <c r="D486" t="s">
        <v>98</v>
      </c>
      <c r="E486" t="s">
        <v>50</v>
      </c>
      <c r="F486" t="s">
        <v>99</v>
      </c>
      <c r="G486" t="s">
        <v>108</v>
      </c>
      <c r="H486" s="1">
        <v>44424</v>
      </c>
      <c r="I486" t="s">
        <v>41</v>
      </c>
      <c r="J486" t="s">
        <v>28</v>
      </c>
      <c r="K486">
        <v>2021</v>
      </c>
      <c r="L486">
        <v>3196</v>
      </c>
      <c r="M486">
        <v>308</v>
      </c>
      <c r="N486">
        <v>30</v>
      </c>
      <c r="O486">
        <v>95880</v>
      </c>
      <c r="P486">
        <v>4794</v>
      </c>
      <c r="Q486">
        <v>91086</v>
      </c>
      <c r="R486">
        <v>50.597000000000001</v>
      </c>
      <c r="S486">
        <v>984368</v>
      </c>
      <c r="T486">
        <v>-893282</v>
      </c>
    </row>
    <row r="487" spans="1:20" x14ac:dyDescent="0.35">
      <c r="A487" t="s">
        <v>37</v>
      </c>
      <c r="B487" t="s">
        <v>47</v>
      </c>
      <c r="C487" t="s">
        <v>48</v>
      </c>
      <c r="D487" t="s">
        <v>49</v>
      </c>
      <c r="E487" t="s">
        <v>50</v>
      </c>
      <c r="F487" t="s">
        <v>51</v>
      </c>
      <c r="G487" t="s">
        <v>108</v>
      </c>
      <c r="H487" s="1">
        <v>44282</v>
      </c>
      <c r="I487" t="s">
        <v>109</v>
      </c>
      <c r="J487" t="s">
        <v>36</v>
      </c>
      <c r="K487">
        <v>2021</v>
      </c>
      <c r="L487">
        <v>2984</v>
      </c>
      <c r="M487">
        <v>308</v>
      </c>
      <c r="N487">
        <v>11</v>
      </c>
      <c r="O487">
        <v>32824</v>
      </c>
      <c r="P487">
        <v>1641.2</v>
      </c>
      <c r="Q487">
        <v>31182.799999999999</v>
      </c>
      <c r="R487">
        <v>16.538550000000001</v>
      </c>
      <c r="S487">
        <v>919072</v>
      </c>
      <c r="T487">
        <v>-887889.2</v>
      </c>
    </row>
    <row r="488" spans="1:20" x14ac:dyDescent="0.35">
      <c r="A488" t="s">
        <v>53</v>
      </c>
      <c r="B488" t="s">
        <v>84</v>
      </c>
      <c r="C488" t="s">
        <v>102</v>
      </c>
      <c r="D488" t="s">
        <v>297</v>
      </c>
      <c r="E488" t="s">
        <v>104</v>
      </c>
      <c r="F488" t="s">
        <v>281</v>
      </c>
      <c r="G488" t="s">
        <v>108</v>
      </c>
      <c r="H488" s="1">
        <v>44423</v>
      </c>
      <c r="I488" t="s">
        <v>41</v>
      </c>
      <c r="J488" t="s">
        <v>28</v>
      </c>
      <c r="K488">
        <v>2021</v>
      </c>
      <c r="L488">
        <v>1500</v>
      </c>
      <c r="M488">
        <v>320</v>
      </c>
      <c r="N488">
        <v>450</v>
      </c>
      <c r="O488">
        <v>675000</v>
      </c>
      <c r="P488">
        <v>33750</v>
      </c>
      <c r="Q488">
        <v>641250</v>
      </c>
      <c r="R488">
        <v>356.25</v>
      </c>
      <c r="S488">
        <v>480000</v>
      </c>
      <c r="T488">
        <v>161250</v>
      </c>
    </row>
    <row r="489" spans="1:20" x14ac:dyDescent="0.35">
      <c r="A489" t="s">
        <v>29</v>
      </c>
      <c r="B489" t="s">
        <v>30</v>
      </c>
      <c r="C489" t="s">
        <v>31</v>
      </c>
      <c r="D489" t="s">
        <v>32</v>
      </c>
      <c r="E489" t="s">
        <v>33</v>
      </c>
      <c r="F489" t="s">
        <v>34</v>
      </c>
      <c r="G489" t="s">
        <v>108</v>
      </c>
      <c r="H489" s="1">
        <v>44274</v>
      </c>
      <c r="I489" t="s">
        <v>109</v>
      </c>
      <c r="J489" t="s">
        <v>36</v>
      </c>
      <c r="K489">
        <v>2021</v>
      </c>
      <c r="L489">
        <v>4561</v>
      </c>
      <c r="M489">
        <v>12</v>
      </c>
      <c r="N489">
        <v>23</v>
      </c>
      <c r="O489">
        <v>104903</v>
      </c>
      <c r="P489">
        <v>6294.1799999999994</v>
      </c>
      <c r="Q489">
        <v>98608.82</v>
      </c>
      <c r="R489">
        <v>53.594100000000005</v>
      </c>
      <c r="S489">
        <v>54732</v>
      </c>
      <c r="T489">
        <v>43876.820000000007</v>
      </c>
    </row>
    <row r="490" spans="1:20" x14ac:dyDescent="0.35">
      <c r="A490" t="s">
        <v>37</v>
      </c>
      <c r="B490" t="s">
        <v>21</v>
      </c>
      <c r="C490" t="s">
        <v>22</v>
      </c>
      <c r="D490" t="s">
        <v>110</v>
      </c>
      <c r="E490" t="s">
        <v>24</v>
      </c>
      <c r="F490" t="s">
        <v>111</v>
      </c>
      <c r="G490" t="s">
        <v>108</v>
      </c>
      <c r="H490" s="1">
        <v>44392</v>
      </c>
      <c r="I490" t="s">
        <v>89</v>
      </c>
      <c r="J490" t="s">
        <v>28</v>
      </c>
      <c r="K490">
        <v>2021</v>
      </c>
      <c r="L490">
        <v>1176</v>
      </c>
      <c r="M490">
        <v>6</v>
      </c>
      <c r="N490">
        <v>525</v>
      </c>
      <c r="O490">
        <v>617400</v>
      </c>
      <c r="P490">
        <v>37044</v>
      </c>
      <c r="Q490">
        <v>580356</v>
      </c>
      <c r="R490">
        <v>322.42</v>
      </c>
      <c r="S490">
        <v>7056</v>
      </c>
      <c r="T490">
        <v>573300</v>
      </c>
    </row>
    <row r="491" spans="1:20" x14ac:dyDescent="0.35">
      <c r="A491" t="s">
        <v>37</v>
      </c>
      <c r="B491" t="s">
        <v>65</v>
      </c>
      <c r="C491" t="s">
        <v>22</v>
      </c>
      <c r="D491" t="s">
        <v>92</v>
      </c>
      <c r="E491" t="s">
        <v>24</v>
      </c>
      <c r="F491" t="s">
        <v>93</v>
      </c>
      <c r="G491" t="s">
        <v>108</v>
      </c>
      <c r="H491" s="1">
        <v>44333</v>
      </c>
      <c r="I491" t="s">
        <v>77</v>
      </c>
      <c r="J491" t="s">
        <v>78</v>
      </c>
      <c r="K491">
        <v>2021</v>
      </c>
      <c r="L491">
        <v>1752</v>
      </c>
      <c r="M491">
        <v>6</v>
      </c>
      <c r="N491">
        <v>525</v>
      </c>
      <c r="O491">
        <v>919800</v>
      </c>
      <c r="P491">
        <v>55188</v>
      </c>
      <c r="Q491">
        <v>864612</v>
      </c>
      <c r="R491">
        <v>480.34</v>
      </c>
      <c r="S491">
        <v>10512</v>
      </c>
      <c r="T491">
        <v>854100</v>
      </c>
    </row>
    <row r="492" spans="1:20" x14ac:dyDescent="0.35">
      <c r="A492" t="s">
        <v>29</v>
      </c>
      <c r="B492" t="s">
        <v>47</v>
      </c>
      <c r="C492" t="s">
        <v>43</v>
      </c>
      <c r="D492" t="s">
        <v>271</v>
      </c>
      <c r="E492" t="s">
        <v>45</v>
      </c>
      <c r="F492" t="s">
        <v>272</v>
      </c>
      <c r="G492" t="s">
        <v>108</v>
      </c>
      <c r="H492" s="1">
        <v>44432</v>
      </c>
      <c r="I492" t="s">
        <v>41</v>
      </c>
      <c r="J492" t="s">
        <v>28</v>
      </c>
      <c r="K492">
        <v>2021</v>
      </c>
      <c r="L492">
        <v>1836</v>
      </c>
      <c r="M492">
        <v>148</v>
      </c>
      <c r="N492">
        <v>23</v>
      </c>
      <c r="O492">
        <v>42228</v>
      </c>
      <c r="P492">
        <v>2533.6799999999998</v>
      </c>
      <c r="Q492">
        <v>39694.32</v>
      </c>
      <c r="R492">
        <v>21.573</v>
      </c>
      <c r="S492">
        <v>271728</v>
      </c>
      <c r="T492">
        <v>-232033.68</v>
      </c>
    </row>
    <row r="493" spans="1:20" x14ac:dyDescent="0.35">
      <c r="A493" t="s">
        <v>37</v>
      </c>
      <c r="B493" t="s">
        <v>42</v>
      </c>
      <c r="C493" t="s">
        <v>43</v>
      </c>
      <c r="D493" t="s">
        <v>87</v>
      </c>
      <c r="E493" t="s">
        <v>45</v>
      </c>
      <c r="F493" t="s">
        <v>88</v>
      </c>
      <c r="G493" t="s">
        <v>108</v>
      </c>
      <c r="H493" s="1">
        <v>44207</v>
      </c>
      <c r="I493" t="s">
        <v>35</v>
      </c>
      <c r="J493" t="s">
        <v>36</v>
      </c>
      <c r="K493">
        <v>2021</v>
      </c>
      <c r="L493">
        <v>1798</v>
      </c>
      <c r="M493">
        <v>148</v>
      </c>
      <c r="N493">
        <v>11</v>
      </c>
      <c r="O493">
        <v>19778</v>
      </c>
      <c r="P493">
        <v>1186.68</v>
      </c>
      <c r="Q493">
        <v>18591.32</v>
      </c>
      <c r="R493">
        <v>9.85684</v>
      </c>
      <c r="S493">
        <v>266104</v>
      </c>
      <c r="T493">
        <v>-247512.68</v>
      </c>
    </row>
    <row r="494" spans="1:20" x14ac:dyDescent="0.35">
      <c r="A494" t="s">
        <v>20</v>
      </c>
      <c r="B494" t="s">
        <v>30</v>
      </c>
      <c r="C494" t="s">
        <v>102</v>
      </c>
      <c r="D494" t="s">
        <v>277</v>
      </c>
      <c r="E494" t="s">
        <v>104</v>
      </c>
      <c r="F494" t="s">
        <v>161</v>
      </c>
      <c r="G494" t="s">
        <v>108</v>
      </c>
      <c r="H494" s="1">
        <v>44375</v>
      </c>
      <c r="I494" t="s">
        <v>144</v>
      </c>
      <c r="J494" t="s">
        <v>78</v>
      </c>
      <c r="K494">
        <v>2021</v>
      </c>
      <c r="L494">
        <v>2385</v>
      </c>
      <c r="M494">
        <v>320</v>
      </c>
      <c r="N494">
        <v>188</v>
      </c>
      <c r="O494">
        <v>448380</v>
      </c>
      <c r="P494">
        <v>26902.799999999999</v>
      </c>
      <c r="Q494">
        <v>421477.2</v>
      </c>
      <c r="R494">
        <v>233.53125</v>
      </c>
      <c r="S494">
        <v>763200</v>
      </c>
      <c r="T494">
        <v>-341722.8</v>
      </c>
    </row>
    <row r="495" spans="1:20" x14ac:dyDescent="0.35">
      <c r="A495" t="s">
        <v>29</v>
      </c>
      <c r="B495" t="s">
        <v>84</v>
      </c>
      <c r="C495" t="s">
        <v>31</v>
      </c>
      <c r="D495" t="s">
        <v>210</v>
      </c>
      <c r="E495" t="s">
        <v>33</v>
      </c>
      <c r="F495" t="s">
        <v>211</v>
      </c>
      <c r="G495" t="s">
        <v>108</v>
      </c>
      <c r="H495" s="1">
        <v>44271</v>
      </c>
      <c r="I495" t="s">
        <v>109</v>
      </c>
      <c r="J495" t="s">
        <v>36</v>
      </c>
      <c r="K495">
        <v>2021</v>
      </c>
      <c r="L495">
        <v>2092</v>
      </c>
      <c r="M495">
        <v>12</v>
      </c>
      <c r="N495">
        <v>23</v>
      </c>
      <c r="O495">
        <v>48116</v>
      </c>
      <c r="P495">
        <v>2886.96</v>
      </c>
      <c r="Q495">
        <v>45229.04</v>
      </c>
      <c r="R495">
        <v>24.5763</v>
      </c>
      <c r="S495">
        <v>25104</v>
      </c>
      <c r="T495">
        <v>20125.04</v>
      </c>
    </row>
    <row r="496" spans="1:20" x14ac:dyDescent="0.35">
      <c r="A496" t="s">
        <v>79</v>
      </c>
      <c r="B496" t="s">
        <v>65</v>
      </c>
      <c r="C496" t="s">
        <v>55</v>
      </c>
      <c r="D496" t="s">
        <v>247</v>
      </c>
      <c r="E496" t="s">
        <v>57</v>
      </c>
      <c r="F496" t="s">
        <v>248</v>
      </c>
      <c r="G496" t="s">
        <v>108</v>
      </c>
      <c r="H496" s="1">
        <v>44428</v>
      </c>
      <c r="I496" t="s">
        <v>41</v>
      </c>
      <c r="J496" t="s">
        <v>28</v>
      </c>
      <c r="K496">
        <v>2021</v>
      </c>
      <c r="L496">
        <v>872</v>
      </c>
      <c r="M496">
        <v>4</v>
      </c>
      <c r="N496">
        <v>18</v>
      </c>
      <c r="O496">
        <v>15696</v>
      </c>
      <c r="P496">
        <v>1098.7199999999998</v>
      </c>
      <c r="Q496">
        <v>14597.28</v>
      </c>
      <c r="R496">
        <v>8.1133199999999999</v>
      </c>
      <c r="S496">
        <v>3488</v>
      </c>
      <c r="T496">
        <v>11109.28</v>
      </c>
    </row>
    <row r="497" spans="1:20" x14ac:dyDescent="0.35">
      <c r="A497" t="s">
        <v>79</v>
      </c>
      <c r="B497" t="s">
        <v>47</v>
      </c>
      <c r="C497" t="s">
        <v>22</v>
      </c>
      <c r="D497" t="s">
        <v>278</v>
      </c>
      <c r="E497" t="s">
        <v>24</v>
      </c>
      <c r="F497" t="s">
        <v>150</v>
      </c>
      <c r="G497" t="s">
        <v>108</v>
      </c>
      <c r="H497" s="1">
        <v>44263</v>
      </c>
      <c r="I497" t="s">
        <v>109</v>
      </c>
      <c r="J497" t="s">
        <v>36</v>
      </c>
      <c r="K497">
        <v>2021</v>
      </c>
      <c r="L497">
        <v>2808</v>
      </c>
      <c r="M497">
        <v>6</v>
      </c>
      <c r="N497">
        <v>18</v>
      </c>
      <c r="O497">
        <v>50544</v>
      </c>
      <c r="P497">
        <v>3538.0799999999995</v>
      </c>
      <c r="Q497">
        <v>47005.919999999998</v>
      </c>
      <c r="R497">
        <v>26.1144</v>
      </c>
      <c r="S497">
        <v>16848</v>
      </c>
      <c r="T497">
        <v>30157.919999999998</v>
      </c>
    </row>
    <row r="498" spans="1:20" x14ac:dyDescent="0.35">
      <c r="A498" t="s">
        <v>37</v>
      </c>
      <c r="B498" t="s">
        <v>21</v>
      </c>
      <c r="C498" t="s">
        <v>43</v>
      </c>
      <c r="D498" t="s">
        <v>245</v>
      </c>
      <c r="E498" t="s">
        <v>45</v>
      </c>
      <c r="F498" t="s">
        <v>246</v>
      </c>
      <c r="G498" t="s">
        <v>108</v>
      </c>
      <c r="H498" s="1">
        <v>44412</v>
      </c>
      <c r="I498" t="s">
        <v>41</v>
      </c>
      <c r="J498" t="s">
        <v>28</v>
      </c>
      <c r="K498">
        <v>2021</v>
      </c>
      <c r="L498">
        <v>656</v>
      </c>
      <c r="M498">
        <v>148</v>
      </c>
      <c r="N498">
        <v>11</v>
      </c>
      <c r="O498">
        <v>7216</v>
      </c>
      <c r="P498">
        <v>505.11999999999995</v>
      </c>
      <c r="Q498">
        <v>6710.88</v>
      </c>
      <c r="R498">
        <v>3.5609700000000002</v>
      </c>
      <c r="S498">
        <v>97088</v>
      </c>
      <c r="T498">
        <v>-90377.12</v>
      </c>
    </row>
    <row r="499" spans="1:20" x14ac:dyDescent="0.35">
      <c r="A499" t="s">
        <v>79</v>
      </c>
      <c r="B499" t="s">
        <v>21</v>
      </c>
      <c r="C499" t="s">
        <v>48</v>
      </c>
      <c r="D499" t="s">
        <v>153</v>
      </c>
      <c r="E499" t="s">
        <v>50</v>
      </c>
      <c r="F499" t="s">
        <v>154</v>
      </c>
      <c r="G499" t="s">
        <v>108</v>
      </c>
      <c r="H499" s="1">
        <v>44252</v>
      </c>
      <c r="I499" t="s">
        <v>52</v>
      </c>
      <c r="J499" t="s">
        <v>36</v>
      </c>
      <c r="K499">
        <v>2021</v>
      </c>
      <c r="L499">
        <v>2086</v>
      </c>
      <c r="M499">
        <v>308</v>
      </c>
      <c r="N499">
        <v>18</v>
      </c>
      <c r="O499">
        <v>37548</v>
      </c>
      <c r="P499">
        <v>2628.3599999999997</v>
      </c>
      <c r="Q499">
        <v>34919.64</v>
      </c>
      <c r="R499">
        <v>19.40166</v>
      </c>
      <c r="S499">
        <v>642488</v>
      </c>
      <c r="T499">
        <v>-607568.36</v>
      </c>
    </row>
    <row r="500" spans="1:20" x14ac:dyDescent="0.35">
      <c r="A500" t="s">
        <v>37</v>
      </c>
      <c r="B500" t="s">
        <v>42</v>
      </c>
      <c r="C500" t="s">
        <v>48</v>
      </c>
      <c r="D500" t="s">
        <v>121</v>
      </c>
      <c r="E500" t="s">
        <v>50</v>
      </c>
      <c r="F500" t="s">
        <v>122</v>
      </c>
      <c r="G500" t="s">
        <v>108</v>
      </c>
      <c r="H500" s="1">
        <v>44197</v>
      </c>
      <c r="I500" t="s">
        <v>35</v>
      </c>
      <c r="J500" t="s">
        <v>36</v>
      </c>
      <c r="K500">
        <v>2021</v>
      </c>
      <c r="L500">
        <v>1898</v>
      </c>
      <c r="M500">
        <v>308</v>
      </c>
      <c r="N500">
        <v>11</v>
      </c>
      <c r="O500">
        <v>20878</v>
      </c>
      <c r="P500">
        <v>1461.4599999999998</v>
      </c>
      <c r="Q500">
        <v>19416.54</v>
      </c>
      <c r="R500">
        <v>10.298819999999999</v>
      </c>
      <c r="S500">
        <v>584584</v>
      </c>
      <c r="T500">
        <v>-565167.46</v>
      </c>
    </row>
    <row r="501" spans="1:20" x14ac:dyDescent="0.35">
      <c r="A501" t="s">
        <v>37</v>
      </c>
      <c r="B501" t="s">
        <v>21</v>
      </c>
      <c r="C501" t="s">
        <v>55</v>
      </c>
      <c r="D501" t="s">
        <v>125</v>
      </c>
      <c r="E501" t="s">
        <v>57</v>
      </c>
      <c r="F501" t="s">
        <v>126</v>
      </c>
      <c r="G501" t="s">
        <v>108</v>
      </c>
      <c r="H501" s="1">
        <v>44319</v>
      </c>
      <c r="I501" t="s">
        <v>77</v>
      </c>
      <c r="J501" t="s">
        <v>78</v>
      </c>
      <c r="K501">
        <v>2021</v>
      </c>
      <c r="L501">
        <v>2113</v>
      </c>
      <c r="M501">
        <v>4</v>
      </c>
      <c r="N501">
        <v>525</v>
      </c>
      <c r="O501">
        <v>1109325</v>
      </c>
      <c r="P501">
        <v>77652.750000000015</v>
      </c>
      <c r="Q501">
        <v>1031672.25</v>
      </c>
      <c r="R501">
        <v>573.20550000000003</v>
      </c>
      <c r="S501">
        <v>8452</v>
      </c>
      <c r="T501">
        <v>1023220.25</v>
      </c>
    </row>
    <row r="502" spans="1:20" x14ac:dyDescent="0.35">
      <c r="A502" t="s">
        <v>53</v>
      </c>
      <c r="B502" t="s">
        <v>65</v>
      </c>
      <c r="C502" t="s">
        <v>55</v>
      </c>
      <c r="D502" t="s">
        <v>253</v>
      </c>
      <c r="E502" t="s">
        <v>57</v>
      </c>
      <c r="F502" t="s">
        <v>126</v>
      </c>
      <c r="G502" t="s">
        <v>108</v>
      </c>
      <c r="H502" s="1">
        <v>44422</v>
      </c>
      <c r="I502" t="s">
        <v>41</v>
      </c>
      <c r="J502" t="s">
        <v>28</v>
      </c>
      <c r="K502">
        <v>2021</v>
      </c>
      <c r="L502">
        <v>538</v>
      </c>
      <c r="M502">
        <v>4</v>
      </c>
      <c r="N502">
        <v>450</v>
      </c>
      <c r="O502">
        <v>242100</v>
      </c>
      <c r="P502">
        <v>16947</v>
      </c>
      <c r="Q502">
        <v>225153</v>
      </c>
      <c r="R502">
        <v>124.992</v>
      </c>
      <c r="S502">
        <v>2152</v>
      </c>
      <c r="T502">
        <v>223001</v>
      </c>
    </row>
    <row r="503" spans="1:20" x14ac:dyDescent="0.35">
      <c r="A503" t="s">
        <v>53</v>
      </c>
      <c r="B503" t="s">
        <v>84</v>
      </c>
      <c r="C503" t="s">
        <v>22</v>
      </c>
      <c r="D503" t="s">
        <v>151</v>
      </c>
      <c r="E503" t="s">
        <v>24</v>
      </c>
      <c r="F503" t="s">
        <v>152</v>
      </c>
      <c r="G503" t="s">
        <v>108</v>
      </c>
      <c r="H503" s="1">
        <v>44403</v>
      </c>
      <c r="I503" t="s">
        <v>89</v>
      </c>
      <c r="J503" t="s">
        <v>28</v>
      </c>
      <c r="K503">
        <v>2021</v>
      </c>
      <c r="L503">
        <v>2617</v>
      </c>
      <c r="M503">
        <v>6</v>
      </c>
      <c r="N503">
        <v>450</v>
      </c>
      <c r="O503">
        <v>1177650</v>
      </c>
      <c r="P503">
        <v>82435.500000000015</v>
      </c>
      <c r="Q503">
        <v>1095214.5</v>
      </c>
      <c r="R503">
        <v>608.49900000000002</v>
      </c>
      <c r="S503">
        <v>15702</v>
      </c>
      <c r="T503">
        <v>1079512.5</v>
      </c>
    </row>
    <row r="504" spans="1:20" x14ac:dyDescent="0.35">
      <c r="A504" t="s">
        <v>53</v>
      </c>
      <c r="B504" t="s">
        <v>84</v>
      </c>
      <c r="C504" t="s">
        <v>31</v>
      </c>
      <c r="D504" t="s">
        <v>220</v>
      </c>
      <c r="E504" t="s">
        <v>33</v>
      </c>
      <c r="F504" t="s">
        <v>221</v>
      </c>
      <c r="G504" t="s">
        <v>108</v>
      </c>
      <c r="H504" s="1">
        <v>44333</v>
      </c>
      <c r="I504" t="s">
        <v>77</v>
      </c>
      <c r="J504" t="s">
        <v>78</v>
      </c>
      <c r="K504">
        <v>2021</v>
      </c>
      <c r="L504">
        <v>2042</v>
      </c>
      <c r="M504">
        <v>12</v>
      </c>
      <c r="N504">
        <v>450</v>
      </c>
      <c r="O504">
        <v>918900</v>
      </c>
      <c r="P504">
        <v>64323.000000000007</v>
      </c>
      <c r="Q504">
        <v>854577</v>
      </c>
      <c r="R504">
        <v>474.858</v>
      </c>
      <c r="S504">
        <v>24504</v>
      </c>
      <c r="T504">
        <v>830073</v>
      </c>
    </row>
    <row r="505" spans="1:20" x14ac:dyDescent="0.35">
      <c r="A505" t="s">
        <v>53</v>
      </c>
      <c r="B505" t="s">
        <v>21</v>
      </c>
      <c r="C505" t="s">
        <v>31</v>
      </c>
      <c r="D505" t="s">
        <v>216</v>
      </c>
      <c r="E505" t="s">
        <v>33</v>
      </c>
      <c r="F505" t="s">
        <v>217</v>
      </c>
      <c r="G505" t="s">
        <v>108</v>
      </c>
      <c r="H505" s="1">
        <v>44351</v>
      </c>
      <c r="I505" t="s">
        <v>144</v>
      </c>
      <c r="J505" t="s">
        <v>78</v>
      </c>
      <c r="K505">
        <v>2021</v>
      </c>
      <c r="L505">
        <v>538</v>
      </c>
      <c r="M505">
        <v>12</v>
      </c>
      <c r="N505">
        <v>450</v>
      </c>
      <c r="O505">
        <v>242100</v>
      </c>
      <c r="P505">
        <v>16947</v>
      </c>
      <c r="Q505">
        <v>225153</v>
      </c>
      <c r="R505">
        <v>124.992</v>
      </c>
      <c r="S505">
        <v>6456</v>
      </c>
      <c r="T505">
        <v>218697</v>
      </c>
    </row>
    <row r="506" spans="1:20" x14ac:dyDescent="0.35">
      <c r="A506" t="s">
        <v>37</v>
      </c>
      <c r="B506" t="s">
        <v>84</v>
      </c>
      <c r="C506" t="s">
        <v>43</v>
      </c>
      <c r="D506" t="s">
        <v>131</v>
      </c>
      <c r="E506" t="s">
        <v>45</v>
      </c>
      <c r="F506" t="s">
        <v>132</v>
      </c>
      <c r="G506" t="s">
        <v>108</v>
      </c>
      <c r="H506" s="1">
        <v>44411</v>
      </c>
      <c r="I506" t="s">
        <v>41</v>
      </c>
      <c r="J506" t="s">
        <v>28</v>
      </c>
      <c r="K506">
        <v>2021</v>
      </c>
      <c r="L506">
        <v>2371</v>
      </c>
      <c r="M506">
        <v>148</v>
      </c>
      <c r="N506">
        <v>30</v>
      </c>
      <c r="O506">
        <v>71130</v>
      </c>
      <c r="P506">
        <v>4979.1000000000004</v>
      </c>
      <c r="Q506">
        <v>66150.899999999994</v>
      </c>
      <c r="R506">
        <v>36.753599999999999</v>
      </c>
      <c r="S506">
        <v>350908</v>
      </c>
      <c r="T506">
        <v>-284757.09999999998</v>
      </c>
    </row>
    <row r="507" spans="1:20" x14ac:dyDescent="0.35">
      <c r="A507" t="s">
        <v>79</v>
      </c>
      <c r="B507" t="s">
        <v>84</v>
      </c>
      <c r="C507" t="s">
        <v>48</v>
      </c>
      <c r="D507" t="s">
        <v>299</v>
      </c>
      <c r="E507" t="s">
        <v>50</v>
      </c>
      <c r="F507" t="s">
        <v>167</v>
      </c>
      <c r="G507" t="s">
        <v>108</v>
      </c>
      <c r="H507" s="1">
        <v>44463</v>
      </c>
      <c r="I507" t="s">
        <v>27</v>
      </c>
      <c r="J507" t="s">
        <v>28</v>
      </c>
      <c r="K507">
        <v>2021</v>
      </c>
      <c r="L507">
        <v>3893</v>
      </c>
      <c r="M507">
        <v>308</v>
      </c>
      <c r="N507">
        <v>18</v>
      </c>
      <c r="O507">
        <v>70074</v>
      </c>
      <c r="P507">
        <v>4905.18</v>
      </c>
      <c r="Q507">
        <v>65168.82</v>
      </c>
      <c r="R507">
        <v>36.208620000000003</v>
      </c>
      <c r="S507">
        <v>1199044</v>
      </c>
      <c r="T507">
        <v>-1133875.18</v>
      </c>
    </row>
    <row r="508" spans="1:20" x14ac:dyDescent="0.35">
      <c r="A508" t="s">
        <v>53</v>
      </c>
      <c r="B508" t="s">
        <v>84</v>
      </c>
      <c r="C508" t="s">
        <v>48</v>
      </c>
      <c r="D508" t="s">
        <v>133</v>
      </c>
      <c r="E508" t="s">
        <v>50</v>
      </c>
      <c r="F508" t="s">
        <v>134</v>
      </c>
      <c r="G508" t="s">
        <v>108</v>
      </c>
      <c r="H508" s="1">
        <v>44300</v>
      </c>
      <c r="I508" t="s">
        <v>112</v>
      </c>
      <c r="J508" t="s">
        <v>78</v>
      </c>
      <c r="K508">
        <v>2021</v>
      </c>
      <c r="L508">
        <v>1151</v>
      </c>
      <c r="M508">
        <v>308</v>
      </c>
      <c r="N508">
        <v>450</v>
      </c>
      <c r="O508">
        <v>517950</v>
      </c>
      <c r="P508">
        <v>36256.5</v>
      </c>
      <c r="Q508">
        <v>481693.5</v>
      </c>
      <c r="R508">
        <v>267.56099999999998</v>
      </c>
      <c r="S508">
        <v>354508</v>
      </c>
      <c r="T508">
        <v>127185.5</v>
      </c>
    </row>
    <row r="509" spans="1:20" x14ac:dyDescent="0.35">
      <c r="A509" t="s">
        <v>20</v>
      </c>
      <c r="B509" t="s">
        <v>42</v>
      </c>
      <c r="C509" t="s">
        <v>102</v>
      </c>
      <c r="D509" t="s">
        <v>283</v>
      </c>
      <c r="E509" t="s">
        <v>104</v>
      </c>
      <c r="F509" t="s">
        <v>171</v>
      </c>
      <c r="G509" t="s">
        <v>108</v>
      </c>
      <c r="H509" s="1">
        <v>44350</v>
      </c>
      <c r="I509" t="s">
        <v>144</v>
      </c>
      <c r="J509" t="s">
        <v>78</v>
      </c>
      <c r="K509">
        <v>2021</v>
      </c>
      <c r="L509">
        <v>1974</v>
      </c>
      <c r="M509">
        <v>320</v>
      </c>
      <c r="N509">
        <v>188</v>
      </c>
      <c r="O509">
        <v>371112</v>
      </c>
      <c r="P509">
        <v>25977.840000000004</v>
      </c>
      <c r="Q509">
        <v>345134.16</v>
      </c>
      <c r="R509">
        <v>191.23124999999999</v>
      </c>
      <c r="S509">
        <v>631680</v>
      </c>
      <c r="T509">
        <v>-286545.84000000003</v>
      </c>
    </row>
    <row r="510" spans="1:20" x14ac:dyDescent="0.35">
      <c r="A510" t="s">
        <v>37</v>
      </c>
      <c r="B510" t="s">
        <v>21</v>
      </c>
      <c r="C510" t="s">
        <v>102</v>
      </c>
      <c r="D510" t="s">
        <v>137</v>
      </c>
      <c r="E510" t="s">
        <v>104</v>
      </c>
      <c r="F510" t="s">
        <v>138</v>
      </c>
      <c r="G510" t="s">
        <v>108</v>
      </c>
      <c r="H510" s="1">
        <v>44377</v>
      </c>
      <c r="I510" t="s">
        <v>144</v>
      </c>
      <c r="J510" t="s">
        <v>78</v>
      </c>
      <c r="K510">
        <v>2021</v>
      </c>
      <c r="L510">
        <v>3451</v>
      </c>
      <c r="M510">
        <v>320</v>
      </c>
      <c r="N510">
        <v>525</v>
      </c>
      <c r="O510">
        <v>1811775</v>
      </c>
      <c r="P510">
        <v>126824.25000000001</v>
      </c>
      <c r="Q510">
        <v>1684950.75</v>
      </c>
      <c r="R510">
        <v>936.13800000000003</v>
      </c>
      <c r="S510">
        <v>1104320</v>
      </c>
      <c r="T510">
        <v>580630.75</v>
      </c>
    </row>
    <row r="511" spans="1:20" x14ac:dyDescent="0.35">
      <c r="A511" t="s">
        <v>53</v>
      </c>
      <c r="B511" t="s">
        <v>47</v>
      </c>
      <c r="C511" t="s">
        <v>102</v>
      </c>
      <c r="D511" t="s">
        <v>300</v>
      </c>
      <c r="E511" t="s">
        <v>104</v>
      </c>
      <c r="F511" t="s">
        <v>150</v>
      </c>
      <c r="G511" t="s">
        <v>108</v>
      </c>
      <c r="H511" s="1">
        <v>44459</v>
      </c>
      <c r="I511" t="s">
        <v>27</v>
      </c>
      <c r="J511" t="s">
        <v>28</v>
      </c>
      <c r="K511">
        <v>2021</v>
      </c>
      <c r="L511">
        <v>1646</v>
      </c>
      <c r="M511">
        <v>320</v>
      </c>
      <c r="N511">
        <v>450</v>
      </c>
      <c r="O511">
        <v>740700</v>
      </c>
      <c r="P511">
        <v>51849.000000000007</v>
      </c>
      <c r="Q511">
        <v>688851</v>
      </c>
      <c r="R511">
        <v>382.78800000000001</v>
      </c>
      <c r="S511">
        <v>526720</v>
      </c>
      <c r="T511">
        <v>162131</v>
      </c>
    </row>
    <row r="512" spans="1:20" x14ac:dyDescent="0.35">
      <c r="A512" t="s">
        <v>29</v>
      </c>
      <c r="B512" t="s">
        <v>30</v>
      </c>
      <c r="C512" t="s">
        <v>55</v>
      </c>
      <c r="D512" t="s">
        <v>301</v>
      </c>
      <c r="E512" t="s">
        <v>57</v>
      </c>
      <c r="F512" t="s">
        <v>230</v>
      </c>
      <c r="G512" t="s">
        <v>108</v>
      </c>
      <c r="H512" s="1">
        <v>44202</v>
      </c>
      <c r="I512" t="s">
        <v>35</v>
      </c>
      <c r="J512" t="s">
        <v>36</v>
      </c>
      <c r="K512">
        <v>2021</v>
      </c>
      <c r="L512">
        <v>588</v>
      </c>
      <c r="M512">
        <v>4</v>
      </c>
      <c r="N512">
        <v>23</v>
      </c>
      <c r="O512">
        <v>13524</v>
      </c>
      <c r="P512">
        <v>1081.92</v>
      </c>
      <c r="Q512">
        <v>12442.08</v>
      </c>
      <c r="R512">
        <v>6.7619999999999996</v>
      </c>
      <c r="S512">
        <v>2352</v>
      </c>
      <c r="T512">
        <v>10090.08</v>
      </c>
    </row>
    <row r="513" spans="1:20" x14ac:dyDescent="0.35">
      <c r="A513" t="s">
        <v>29</v>
      </c>
      <c r="B513" t="s">
        <v>21</v>
      </c>
      <c r="C513" t="s">
        <v>22</v>
      </c>
      <c r="D513" t="s">
        <v>270</v>
      </c>
      <c r="E513" t="s">
        <v>24</v>
      </c>
      <c r="F513" t="s">
        <v>217</v>
      </c>
      <c r="G513" t="s">
        <v>108</v>
      </c>
      <c r="H513" s="1">
        <v>44199</v>
      </c>
      <c r="I513" t="s">
        <v>35</v>
      </c>
      <c r="J513" t="s">
        <v>36</v>
      </c>
      <c r="K513">
        <v>2021</v>
      </c>
      <c r="L513">
        <v>3001</v>
      </c>
      <c r="M513">
        <v>6</v>
      </c>
      <c r="N513">
        <v>23</v>
      </c>
      <c r="O513">
        <v>69023</v>
      </c>
      <c r="P513">
        <v>5521.84</v>
      </c>
      <c r="Q513">
        <v>63501.16</v>
      </c>
      <c r="R513">
        <v>34.513800000000003</v>
      </c>
      <c r="S513">
        <v>18006</v>
      </c>
      <c r="T513">
        <v>45495.16</v>
      </c>
    </row>
    <row r="514" spans="1:20" x14ac:dyDescent="0.35">
      <c r="A514" t="s">
        <v>37</v>
      </c>
      <c r="B514" t="s">
        <v>65</v>
      </c>
      <c r="C514" t="s">
        <v>22</v>
      </c>
      <c r="D514" t="s">
        <v>92</v>
      </c>
      <c r="E514" t="s">
        <v>24</v>
      </c>
      <c r="F514" t="s">
        <v>93</v>
      </c>
      <c r="G514" t="s">
        <v>108</v>
      </c>
      <c r="H514" s="1">
        <v>44423</v>
      </c>
      <c r="I514" t="s">
        <v>41</v>
      </c>
      <c r="J514" t="s">
        <v>28</v>
      </c>
      <c r="K514">
        <v>2021</v>
      </c>
      <c r="L514">
        <v>774</v>
      </c>
      <c r="M514">
        <v>6</v>
      </c>
      <c r="N514">
        <v>30</v>
      </c>
      <c r="O514">
        <v>23220</v>
      </c>
      <c r="P514">
        <v>1857.6000000000001</v>
      </c>
      <c r="Q514">
        <v>21362.400000000001</v>
      </c>
      <c r="R514">
        <v>11.868</v>
      </c>
      <c r="S514">
        <v>4644</v>
      </c>
      <c r="T514">
        <v>16718.400000000001</v>
      </c>
    </row>
    <row r="515" spans="1:20" x14ac:dyDescent="0.35">
      <c r="A515" t="s">
        <v>53</v>
      </c>
      <c r="B515" t="s">
        <v>84</v>
      </c>
      <c r="C515" t="s">
        <v>22</v>
      </c>
      <c r="D515" t="s">
        <v>151</v>
      </c>
      <c r="E515" t="s">
        <v>24</v>
      </c>
      <c r="F515" t="s">
        <v>152</v>
      </c>
      <c r="G515" t="s">
        <v>108</v>
      </c>
      <c r="H515" s="1">
        <v>44388</v>
      </c>
      <c r="I515" t="s">
        <v>89</v>
      </c>
      <c r="J515" t="s">
        <v>28</v>
      </c>
      <c r="K515">
        <v>2021</v>
      </c>
      <c r="L515">
        <v>1874</v>
      </c>
      <c r="M515">
        <v>6</v>
      </c>
      <c r="N515">
        <v>450</v>
      </c>
      <c r="O515">
        <v>843300</v>
      </c>
      <c r="P515">
        <v>67464</v>
      </c>
      <c r="Q515">
        <v>775836</v>
      </c>
      <c r="R515">
        <v>431.11200000000002</v>
      </c>
      <c r="S515">
        <v>11244</v>
      </c>
      <c r="T515">
        <v>764592</v>
      </c>
    </row>
    <row r="516" spans="1:20" x14ac:dyDescent="0.35">
      <c r="A516" t="s">
        <v>29</v>
      </c>
      <c r="B516" t="s">
        <v>65</v>
      </c>
      <c r="C516" t="s">
        <v>22</v>
      </c>
      <c r="D516" t="s">
        <v>302</v>
      </c>
      <c r="E516" t="s">
        <v>24</v>
      </c>
      <c r="F516" t="s">
        <v>176</v>
      </c>
      <c r="G516" t="s">
        <v>108</v>
      </c>
      <c r="H516" s="1">
        <v>44369</v>
      </c>
      <c r="I516" t="s">
        <v>144</v>
      </c>
      <c r="J516" t="s">
        <v>78</v>
      </c>
      <c r="K516">
        <v>2021</v>
      </c>
      <c r="L516">
        <v>853</v>
      </c>
      <c r="M516">
        <v>6</v>
      </c>
      <c r="N516">
        <v>23</v>
      </c>
      <c r="O516">
        <v>19619</v>
      </c>
      <c r="P516">
        <v>1569.52</v>
      </c>
      <c r="Q516">
        <v>18049.48</v>
      </c>
      <c r="R516">
        <v>9.8117999999999999</v>
      </c>
      <c r="S516">
        <v>5118</v>
      </c>
      <c r="T516">
        <v>12931.48</v>
      </c>
    </row>
    <row r="517" spans="1:20" x14ac:dyDescent="0.35">
      <c r="A517" t="s">
        <v>37</v>
      </c>
      <c r="B517" t="s">
        <v>47</v>
      </c>
      <c r="C517" t="s">
        <v>31</v>
      </c>
      <c r="D517" t="s">
        <v>149</v>
      </c>
      <c r="E517" t="s">
        <v>33</v>
      </c>
      <c r="F517" t="s">
        <v>150</v>
      </c>
      <c r="G517" t="s">
        <v>108</v>
      </c>
      <c r="H517" s="1">
        <v>44389</v>
      </c>
      <c r="I517" t="s">
        <v>89</v>
      </c>
      <c r="J517" t="s">
        <v>28</v>
      </c>
      <c r="K517">
        <v>2021</v>
      </c>
      <c r="L517">
        <v>1511</v>
      </c>
      <c r="M517">
        <v>12</v>
      </c>
      <c r="N517">
        <v>11</v>
      </c>
      <c r="O517">
        <v>16621</v>
      </c>
      <c r="P517">
        <v>1329.68</v>
      </c>
      <c r="Q517">
        <v>15291.32</v>
      </c>
      <c r="R517">
        <v>8.1079600000000003</v>
      </c>
      <c r="S517">
        <v>18132</v>
      </c>
      <c r="T517">
        <v>-2840.6800000000003</v>
      </c>
    </row>
    <row r="518" spans="1:20" x14ac:dyDescent="0.35">
      <c r="A518" t="s">
        <v>37</v>
      </c>
      <c r="B518" t="s">
        <v>47</v>
      </c>
      <c r="C518" t="s">
        <v>31</v>
      </c>
      <c r="D518" t="s">
        <v>94</v>
      </c>
      <c r="E518" t="s">
        <v>33</v>
      </c>
      <c r="F518" t="s">
        <v>95</v>
      </c>
      <c r="G518" t="s">
        <v>108</v>
      </c>
      <c r="H518" s="1">
        <v>44451</v>
      </c>
      <c r="I518" t="s">
        <v>27</v>
      </c>
      <c r="J518" t="s">
        <v>28</v>
      </c>
      <c r="K518">
        <v>2021</v>
      </c>
      <c r="L518">
        <v>1634</v>
      </c>
      <c r="M518">
        <v>12</v>
      </c>
      <c r="N518">
        <v>525</v>
      </c>
      <c r="O518">
        <v>857850</v>
      </c>
      <c r="P518">
        <v>68628</v>
      </c>
      <c r="Q518">
        <v>789222</v>
      </c>
      <c r="R518">
        <v>438.56400000000002</v>
      </c>
      <c r="S518">
        <v>19608</v>
      </c>
      <c r="T518">
        <v>769614</v>
      </c>
    </row>
    <row r="519" spans="1:20" x14ac:dyDescent="0.35">
      <c r="A519" t="s">
        <v>37</v>
      </c>
      <c r="B519" t="s">
        <v>21</v>
      </c>
      <c r="C519" t="s">
        <v>43</v>
      </c>
      <c r="D519" t="s">
        <v>245</v>
      </c>
      <c r="E519" t="s">
        <v>45</v>
      </c>
      <c r="F519" t="s">
        <v>246</v>
      </c>
      <c r="G519" t="s">
        <v>108</v>
      </c>
      <c r="H519" s="1">
        <v>44425</v>
      </c>
      <c r="I519" t="s">
        <v>41</v>
      </c>
      <c r="J519" t="s">
        <v>28</v>
      </c>
      <c r="K519">
        <v>2021</v>
      </c>
      <c r="L519">
        <v>3488</v>
      </c>
      <c r="M519">
        <v>148</v>
      </c>
      <c r="N519">
        <v>11</v>
      </c>
      <c r="O519">
        <v>38368</v>
      </c>
      <c r="P519">
        <v>3069.44</v>
      </c>
      <c r="Q519">
        <v>35298.559999999998</v>
      </c>
      <c r="R519">
        <v>18.721080000000001</v>
      </c>
      <c r="S519">
        <v>516224</v>
      </c>
      <c r="T519">
        <v>-480925.44</v>
      </c>
    </row>
    <row r="520" spans="1:20" x14ac:dyDescent="0.35">
      <c r="A520" t="s">
        <v>37</v>
      </c>
      <c r="B520" t="s">
        <v>47</v>
      </c>
      <c r="C520" t="s">
        <v>48</v>
      </c>
      <c r="D520" t="s">
        <v>49</v>
      </c>
      <c r="E520" t="s">
        <v>50</v>
      </c>
      <c r="F520" t="s">
        <v>51</v>
      </c>
      <c r="G520" t="s">
        <v>108</v>
      </c>
      <c r="H520" s="1">
        <v>44249</v>
      </c>
      <c r="I520" t="s">
        <v>52</v>
      </c>
      <c r="J520" t="s">
        <v>36</v>
      </c>
      <c r="K520">
        <v>2021</v>
      </c>
      <c r="L520">
        <v>689</v>
      </c>
      <c r="M520">
        <v>308</v>
      </c>
      <c r="N520">
        <v>525</v>
      </c>
      <c r="O520">
        <v>361725</v>
      </c>
      <c r="P520">
        <v>28938</v>
      </c>
      <c r="Q520">
        <v>332787</v>
      </c>
      <c r="R520">
        <v>184.989</v>
      </c>
      <c r="S520">
        <v>212212</v>
      </c>
      <c r="T520">
        <v>120575</v>
      </c>
    </row>
    <row r="521" spans="1:20" x14ac:dyDescent="0.35">
      <c r="A521" t="s">
        <v>37</v>
      </c>
      <c r="B521" t="s">
        <v>47</v>
      </c>
      <c r="C521" t="s">
        <v>48</v>
      </c>
      <c r="D521" t="s">
        <v>49</v>
      </c>
      <c r="E521" t="s">
        <v>50</v>
      </c>
      <c r="F521" t="s">
        <v>51</v>
      </c>
      <c r="G521" t="s">
        <v>108</v>
      </c>
      <c r="H521" s="1">
        <v>44275</v>
      </c>
      <c r="I521" t="s">
        <v>109</v>
      </c>
      <c r="J521" t="s">
        <v>36</v>
      </c>
      <c r="K521">
        <v>2021</v>
      </c>
      <c r="L521">
        <v>457</v>
      </c>
      <c r="M521">
        <v>308</v>
      </c>
      <c r="N521">
        <v>525</v>
      </c>
      <c r="O521">
        <v>239925</v>
      </c>
      <c r="P521">
        <v>19194</v>
      </c>
      <c r="Q521">
        <v>220731</v>
      </c>
      <c r="R521">
        <v>122.682</v>
      </c>
      <c r="S521">
        <v>140756</v>
      </c>
      <c r="T521">
        <v>79975</v>
      </c>
    </row>
    <row r="522" spans="1:20" x14ac:dyDescent="0.35">
      <c r="A522" t="s">
        <v>37</v>
      </c>
      <c r="B522" t="s">
        <v>47</v>
      </c>
      <c r="C522" t="s">
        <v>48</v>
      </c>
      <c r="D522" t="s">
        <v>123</v>
      </c>
      <c r="E522" t="s">
        <v>50</v>
      </c>
      <c r="F522" t="s">
        <v>124</v>
      </c>
      <c r="G522" t="s">
        <v>108</v>
      </c>
      <c r="H522" s="1">
        <v>44414</v>
      </c>
      <c r="I522" t="s">
        <v>41</v>
      </c>
      <c r="J522" t="s">
        <v>28</v>
      </c>
      <c r="K522">
        <v>2021</v>
      </c>
      <c r="L522">
        <v>506</v>
      </c>
      <c r="M522">
        <v>308</v>
      </c>
      <c r="N522">
        <v>525</v>
      </c>
      <c r="O522">
        <v>265650</v>
      </c>
      <c r="P522">
        <v>21252</v>
      </c>
      <c r="Q522">
        <v>244398</v>
      </c>
      <c r="R522">
        <v>135.88399999999999</v>
      </c>
      <c r="S522">
        <v>155848</v>
      </c>
      <c r="T522">
        <v>88550</v>
      </c>
    </row>
    <row r="523" spans="1:20" x14ac:dyDescent="0.35">
      <c r="A523" t="s">
        <v>53</v>
      </c>
      <c r="B523" t="s">
        <v>42</v>
      </c>
      <c r="C523" t="s">
        <v>48</v>
      </c>
      <c r="D523" t="s">
        <v>135</v>
      </c>
      <c r="E523" t="s">
        <v>50</v>
      </c>
      <c r="F523" t="s">
        <v>136</v>
      </c>
      <c r="G523" t="s">
        <v>108</v>
      </c>
      <c r="H523" s="1">
        <v>44275</v>
      </c>
      <c r="I523" t="s">
        <v>109</v>
      </c>
      <c r="J523" t="s">
        <v>36</v>
      </c>
      <c r="K523">
        <v>2021</v>
      </c>
      <c r="L523">
        <v>2561</v>
      </c>
      <c r="M523">
        <v>308</v>
      </c>
      <c r="N523">
        <v>450</v>
      </c>
      <c r="O523">
        <v>1152450</v>
      </c>
      <c r="P523">
        <v>92196</v>
      </c>
      <c r="Q523">
        <v>1060254</v>
      </c>
      <c r="R523">
        <v>588.98400000000004</v>
      </c>
      <c r="S523">
        <v>788788</v>
      </c>
      <c r="T523">
        <v>271466</v>
      </c>
    </row>
    <row r="524" spans="1:20" x14ac:dyDescent="0.35">
      <c r="A524" t="s">
        <v>37</v>
      </c>
      <c r="B524" t="s">
        <v>47</v>
      </c>
      <c r="C524" t="s">
        <v>102</v>
      </c>
      <c r="D524" t="s">
        <v>224</v>
      </c>
      <c r="E524" t="s">
        <v>104</v>
      </c>
      <c r="F524" t="s">
        <v>225</v>
      </c>
      <c r="G524" t="s">
        <v>108</v>
      </c>
      <c r="H524" s="1">
        <v>44311</v>
      </c>
      <c r="I524" t="s">
        <v>112</v>
      </c>
      <c r="J524" t="s">
        <v>78</v>
      </c>
      <c r="K524">
        <v>2021</v>
      </c>
      <c r="L524">
        <v>3488</v>
      </c>
      <c r="M524">
        <v>320</v>
      </c>
      <c r="N524">
        <v>11</v>
      </c>
      <c r="O524">
        <v>38368</v>
      </c>
      <c r="P524">
        <v>3069.44</v>
      </c>
      <c r="Q524">
        <v>35298.559999999998</v>
      </c>
      <c r="R524">
        <v>18.721080000000001</v>
      </c>
      <c r="S524">
        <v>1116160</v>
      </c>
      <c r="T524">
        <v>-1080861.44</v>
      </c>
    </row>
    <row r="525" spans="1:20" x14ac:dyDescent="0.35">
      <c r="A525" t="s">
        <v>53</v>
      </c>
      <c r="B525" t="s">
        <v>42</v>
      </c>
      <c r="C525" t="s">
        <v>102</v>
      </c>
      <c r="D525" t="s">
        <v>288</v>
      </c>
      <c r="E525" t="s">
        <v>104</v>
      </c>
      <c r="F525" t="s">
        <v>180</v>
      </c>
      <c r="G525" t="s">
        <v>108</v>
      </c>
      <c r="H525" s="1">
        <v>44362</v>
      </c>
      <c r="I525" t="s">
        <v>144</v>
      </c>
      <c r="J525" t="s">
        <v>78</v>
      </c>
      <c r="K525">
        <v>2021</v>
      </c>
      <c r="L525">
        <v>2952</v>
      </c>
      <c r="M525">
        <v>320</v>
      </c>
      <c r="N525">
        <v>450</v>
      </c>
      <c r="O525">
        <v>1328400</v>
      </c>
      <c r="P525">
        <v>106272</v>
      </c>
      <c r="Q525">
        <v>1222128</v>
      </c>
      <c r="R525">
        <v>678.96</v>
      </c>
      <c r="S525">
        <v>944640</v>
      </c>
      <c r="T525">
        <v>277488</v>
      </c>
    </row>
    <row r="526" spans="1:20" x14ac:dyDescent="0.35">
      <c r="A526" t="s">
        <v>29</v>
      </c>
      <c r="B526" t="s">
        <v>30</v>
      </c>
      <c r="C526" t="s">
        <v>102</v>
      </c>
      <c r="D526" t="s">
        <v>291</v>
      </c>
      <c r="E526" t="s">
        <v>104</v>
      </c>
      <c r="F526" t="s">
        <v>292</v>
      </c>
      <c r="G526" t="s">
        <v>108</v>
      </c>
      <c r="H526" s="1">
        <v>44404</v>
      </c>
      <c r="I526" t="s">
        <v>89</v>
      </c>
      <c r="J526" t="s">
        <v>28</v>
      </c>
      <c r="K526">
        <v>2021</v>
      </c>
      <c r="L526">
        <v>853</v>
      </c>
      <c r="M526">
        <v>320</v>
      </c>
      <c r="N526">
        <v>23</v>
      </c>
      <c r="O526">
        <v>19619</v>
      </c>
      <c r="P526">
        <v>1569.52</v>
      </c>
      <c r="Q526">
        <v>18049.48</v>
      </c>
      <c r="R526">
        <v>9.8117999999999999</v>
      </c>
      <c r="S526">
        <v>272960</v>
      </c>
      <c r="T526">
        <v>-254910.52</v>
      </c>
    </row>
    <row r="527" spans="1:20" x14ac:dyDescent="0.35">
      <c r="A527" t="s">
        <v>53</v>
      </c>
      <c r="B527" t="s">
        <v>42</v>
      </c>
      <c r="C527" t="s">
        <v>102</v>
      </c>
      <c r="D527" t="s">
        <v>288</v>
      </c>
      <c r="E527" t="s">
        <v>104</v>
      </c>
      <c r="F527" t="s">
        <v>180</v>
      </c>
      <c r="G527" t="s">
        <v>108</v>
      </c>
      <c r="H527" s="1">
        <v>44374</v>
      </c>
      <c r="I527" t="s">
        <v>144</v>
      </c>
      <c r="J527" t="s">
        <v>78</v>
      </c>
      <c r="K527">
        <v>2021</v>
      </c>
      <c r="L527">
        <v>762</v>
      </c>
      <c r="M527">
        <v>320</v>
      </c>
      <c r="N527">
        <v>450</v>
      </c>
      <c r="O527">
        <v>342900</v>
      </c>
      <c r="P527">
        <v>27432</v>
      </c>
      <c r="Q527">
        <v>315468</v>
      </c>
      <c r="R527">
        <v>175.26</v>
      </c>
      <c r="S527">
        <v>243840</v>
      </c>
      <c r="T527">
        <v>71628</v>
      </c>
    </row>
    <row r="528" spans="1:20" x14ac:dyDescent="0.35">
      <c r="A528" t="s">
        <v>37</v>
      </c>
      <c r="B528" t="s">
        <v>21</v>
      </c>
      <c r="C528" t="s">
        <v>48</v>
      </c>
      <c r="D528" t="s">
        <v>98</v>
      </c>
      <c r="E528" t="s">
        <v>50</v>
      </c>
      <c r="F528" t="s">
        <v>99</v>
      </c>
      <c r="G528" t="s">
        <v>108</v>
      </c>
      <c r="H528" s="1">
        <v>44328</v>
      </c>
      <c r="I528" t="s">
        <v>77</v>
      </c>
      <c r="J528" t="s">
        <v>78</v>
      </c>
      <c r="K528">
        <v>2021</v>
      </c>
      <c r="L528">
        <v>524</v>
      </c>
      <c r="M528">
        <v>308</v>
      </c>
      <c r="N528">
        <v>30</v>
      </c>
      <c r="O528">
        <v>15720</v>
      </c>
      <c r="P528">
        <v>1257.6000000000001</v>
      </c>
      <c r="Q528">
        <v>14462.4</v>
      </c>
      <c r="R528">
        <v>8.0315999999999992</v>
      </c>
      <c r="S528">
        <v>161392</v>
      </c>
      <c r="T528">
        <v>-146929.60000000001</v>
      </c>
    </row>
    <row r="529" spans="1:20" x14ac:dyDescent="0.35">
      <c r="A529" t="s">
        <v>37</v>
      </c>
      <c r="B529" t="s">
        <v>47</v>
      </c>
      <c r="C529" t="s">
        <v>31</v>
      </c>
      <c r="D529" t="s">
        <v>94</v>
      </c>
      <c r="E529" t="s">
        <v>33</v>
      </c>
      <c r="F529" t="s">
        <v>95</v>
      </c>
      <c r="G529" t="s">
        <v>108</v>
      </c>
      <c r="H529" s="1">
        <v>44310</v>
      </c>
      <c r="I529" t="s">
        <v>112</v>
      </c>
      <c r="J529" t="s">
        <v>78</v>
      </c>
      <c r="K529">
        <v>2021</v>
      </c>
      <c r="L529">
        <v>2900</v>
      </c>
      <c r="M529">
        <v>12</v>
      </c>
      <c r="N529">
        <v>525</v>
      </c>
      <c r="O529">
        <v>1522500</v>
      </c>
      <c r="P529">
        <v>137025</v>
      </c>
      <c r="Q529">
        <v>1385475</v>
      </c>
      <c r="R529">
        <v>769.81449999999995</v>
      </c>
      <c r="S529">
        <v>34800</v>
      </c>
      <c r="T529">
        <v>1350675</v>
      </c>
    </row>
    <row r="530" spans="1:20" x14ac:dyDescent="0.35">
      <c r="A530" t="s">
        <v>53</v>
      </c>
      <c r="B530" t="s">
        <v>65</v>
      </c>
      <c r="C530" t="s">
        <v>43</v>
      </c>
      <c r="D530" t="s">
        <v>295</v>
      </c>
      <c r="E530" t="s">
        <v>45</v>
      </c>
      <c r="F530" t="s">
        <v>120</v>
      </c>
      <c r="G530" t="s">
        <v>108</v>
      </c>
      <c r="H530" s="1">
        <v>44323</v>
      </c>
      <c r="I530" t="s">
        <v>77</v>
      </c>
      <c r="J530" t="s">
        <v>78</v>
      </c>
      <c r="K530">
        <v>2021</v>
      </c>
      <c r="L530">
        <v>4552</v>
      </c>
      <c r="M530">
        <v>148</v>
      </c>
      <c r="N530">
        <v>450</v>
      </c>
      <c r="O530">
        <v>2048400</v>
      </c>
      <c r="P530">
        <v>184356</v>
      </c>
      <c r="Q530">
        <v>1864044</v>
      </c>
      <c r="R530">
        <v>1035.6255000000001</v>
      </c>
      <c r="S530">
        <v>673696</v>
      </c>
      <c r="T530">
        <v>1190348</v>
      </c>
    </row>
    <row r="531" spans="1:20" x14ac:dyDescent="0.35">
      <c r="A531" t="s">
        <v>37</v>
      </c>
      <c r="B531" t="s">
        <v>47</v>
      </c>
      <c r="C531" t="s">
        <v>43</v>
      </c>
      <c r="D531" t="s">
        <v>233</v>
      </c>
      <c r="E531" t="s">
        <v>45</v>
      </c>
      <c r="F531" t="s">
        <v>234</v>
      </c>
      <c r="G531" t="s">
        <v>108</v>
      </c>
      <c r="H531" s="1">
        <v>44348</v>
      </c>
      <c r="I531" t="s">
        <v>144</v>
      </c>
      <c r="J531" t="s">
        <v>78</v>
      </c>
      <c r="K531">
        <v>2021</v>
      </c>
      <c r="L531">
        <v>1523</v>
      </c>
      <c r="M531">
        <v>148</v>
      </c>
      <c r="N531">
        <v>525</v>
      </c>
      <c r="O531">
        <v>799575</v>
      </c>
      <c r="P531">
        <v>71961.75</v>
      </c>
      <c r="Q531">
        <v>727613.25</v>
      </c>
      <c r="R531">
        <v>404.17649999999998</v>
      </c>
      <c r="S531">
        <v>225404</v>
      </c>
      <c r="T531">
        <v>502209.25</v>
      </c>
    </row>
    <row r="532" spans="1:20" x14ac:dyDescent="0.35">
      <c r="A532" t="s">
        <v>37</v>
      </c>
      <c r="B532" t="s">
        <v>47</v>
      </c>
      <c r="C532" t="s">
        <v>102</v>
      </c>
      <c r="D532" t="s">
        <v>224</v>
      </c>
      <c r="E532" t="s">
        <v>104</v>
      </c>
      <c r="F532" t="s">
        <v>225</v>
      </c>
      <c r="G532" t="s">
        <v>108</v>
      </c>
      <c r="H532" s="1">
        <v>44426</v>
      </c>
      <c r="I532" t="s">
        <v>41</v>
      </c>
      <c r="J532" t="s">
        <v>28</v>
      </c>
      <c r="K532">
        <v>2021</v>
      </c>
      <c r="L532">
        <v>2485</v>
      </c>
      <c r="M532">
        <v>320</v>
      </c>
      <c r="N532">
        <v>525</v>
      </c>
      <c r="O532">
        <v>1304625</v>
      </c>
      <c r="P532">
        <v>117416.25</v>
      </c>
      <c r="Q532">
        <v>1187208.75</v>
      </c>
      <c r="R532">
        <v>659.61350000000004</v>
      </c>
      <c r="S532">
        <v>795200</v>
      </c>
      <c r="T532">
        <v>392008.75</v>
      </c>
    </row>
    <row r="533" spans="1:20" x14ac:dyDescent="0.35">
      <c r="A533" t="s">
        <v>79</v>
      </c>
      <c r="B533" t="s">
        <v>30</v>
      </c>
      <c r="C533" t="s">
        <v>55</v>
      </c>
      <c r="D533" t="s">
        <v>237</v>
      </c>
      <c r="E533" t="s">
        <v>57</v>
      </c>
      <c r="F533" t="s">
        <v>238</v>
      </c>
      <c r="G533" t="s">
        <v>108</v>
      </c>
      <c r="H533" s="1">
        <v>44217</v>
      </c>
      <c r="I533" t="s">
        <v>35</v>
      </c>
      <c r="J533" t="s">
        <v>36</v>
      </c>
      <c r="K533">
        <v>2021</v>
      </c>
      <c r="L533">
        <v>1896</v>
      </c>
      <c r="M533">
        <v>4</v>
      </c>
      <c r="N533">
        <v>18</v>
      </c>
      <c r="O533">
        <v>34128</v>
      </c>
      <c r="P533">
        <v>3071.5200000000004</v>
      </c>
      <c r="Q533">
        <v>31056.48</v>
      </c>
      <c r="R533">
        <v>17.253599999999999</v>
      </c>
      <c r="S533">
        <v>7584</v>
      </c>
      <c r="T533">
        <v>23472.48</v>
      </c>
    </row>
    <row r="534" spans="1:20" x14ac:dyDescent="0.35">
      <c r="A534" t="s">
        <v>37</v>
      </c>
      <c r="B534" t="s">
        <v>47</v>
      </c>
      <c r="C534" t="s">
        <v>31</v>
      </c>
      <c r="D534" t="s">
        <v>94</v>
      </c>
      <c r="E534" t="s">
        <v>33</v>
      </c>
      <c r="F534" t="s">
        <v>95</v>
      </c>
      <c r="G534" t="s">
        <v>108</v>
      </c>
      <c r="H534" s="1">
        <v>44413</v>
      </c>
      <c r="I534" t="s">
        <v>41</v>
      </c>
      <c r="J534" t="s">
        <v>28</v>
      </c>
      <c r="K534">
        <v>2021</v>
      </c>
      <c r="L534">
        <v>1246</v>
      </c>
      <c r="M534">
        <v>12</v>
      </c>
      <c r="N534">
        <v>30</v>
      </c>
      <c r="O534">
        <v>37380</v>
      </c>
      <c r="P534">
        <v>3364.2000000000003</v>
      </c>
      <c r="Q534">
        <v>34015.800000000003</v>
      </c>
      <c r="R534">
        <v>18.891599999999997</v>
      </c>
      <c r="S534">
        <v>14952</v>
      </c>
      <c r="T534">
        <v>19063.800000000003</v>
      </c>
    </row>
    <row r="535" spans="1:20" x14ac:dyDescent="0.35">
      <c r="A535" t="s">
        <v>37</v>
      </c>
      <c r="B535" t="s">
        <v>30</v>
      </c>
      <c r="C535" t="s">
        <v>48</v>
      </c>
      <c r="D535" t="s">
        <v>231</v>
      </c>
      <c r="E535" t="s">
        <v>50</v>
      </c>
      <c r="F535" t="s">
        <v>232</v>
      </c>
      <c r="G535" t="s">
        <v>108</v>
      </c>
      <c r="H535" s="1">
        <v>44240</v>
      </c>
      <c r="I535" t="s">
        <v>52</v>
      </c>
      <c r="J535" t="s">
        <v>36</v>
      </c>
      <c r="K535">
        <v>2021</v>
      </c>
      <c r="L535">
        <v>625</v>
      </c>
      <c r="M535">
        <v>308</v>
      </c>
      <c r="N535">
        <v>11</v>
      </c>
      <c r="O535">
        <v>6875</v>
      </c>
      <c r="P535">
        <v>618.75000000000011</v>
      </c>
      <c r="Q535">
        <v>6256.25</v>
      </c>
      <c r="R535">
        <v>3.3187699999999998</v>
      </c>
      <c r="S535">
        <v>192500</v>
      </c>
      <c r="T535">
        <v>-186243.75</v>
      </c>
    </row>
    <row r="536" spans="1:20" x14ac:dyDescent="0.35">
      <c r="A536" t="s">
        <v>37</v>
      </c>
      <c r="B536" t="s">
        <v>65</v>
      </c>
      <c r="C536" t="s">
        <v>102</v>
      </c>
      <c r="D536" t="s">
        <v>236</v>
      </c>
      <c r="E536" t="s">
        <v>104</v>
      </c>
      <c r="F536" t="s">
        <v>126</v>
      </c>
      <c r="G536" t="s">
        <v>108</v>
      </c>
      <c r="H536" s="1">
        <v>44372</v>
      </c>
      <c r="I536" t="s">
        <v>144</v>
      </c>
      <c r="J536" t="s">
        <v>78</v>
      </c>
      <c r="K536">
        <v>2021</v>
      </c>
      <c r="L536">
        <v>1246</v>
      </c>
      <c r="M536">
        <v>320</v>
      </c>
      <c r="N536">
        <v>30</v>
      </c>
      <c r="O536">
        <v>37380</v>
      </c>
      <c r="P536">
        <v>3364.2000000000003</v>
      </c>
      <c r="Q536">
        <v>34015.800000000003</v>
      </c>
      <c r="R536">
        <v>18.891599999999997</v>
      </c>
      <c r="S536">
        <v>398720</v>
      </c>
      <c r="T536">
        <v>-364704.2</v>
      </c>
    </row>
    <row r="537" spans="1:20" x14ac:dyDescent="0.35">
      <c r="A537" t="s">
        <v>37</v>
      </c>
      <c r="B537" t="s">
        <v>54</v>
      </c>
      <c r="C537" t="s">
        <v>22</v>
      </c>
      <c r="D537" t="s">
        <v>214</v>
      </c>
      <c r="E537" t="s">
        <v>24</v>
      </c>
      <c r="F537" t="s">
        <v>215</v>
      </c>
      <c r="G537" t="s">
        <v>157</v>
      </c>
      <c r="H537" s="1">
        <v>44354</v>
      </c>
      <c r="I537" t="s">
        <v>144</v>
      </c>
      <c r="J537" t="s">
        <v>78</v>
      </c>
      <c r="K537">
        <v>2021</v>
      </c>
      <c r="L537">
        <v>2776</v>
      </c>
      <c r="M537">
        <v>6</v>
      </c>
      <c r="N537">
        <v>525</v>
      </c>
      <c r="O537">
        <v>1457400</v>
      </c>
      <c r="P537">
        <v>145740</v>
      </c>
      <c r="Q537">
        <v>1311660</v>
      </c>
      <c r="R537">
        <v>728.59500000000003</v>
      </c>
      <c r="S537">
        <v>16656</v>
      </c>
      <c r="T537">
        <v>1295004</v>
      </c>
    </row>
    <row r="538" spans="1:20" x14ac:dyDescent="0.35">
      <c r="A538" t="s">
        <v>53</v>
      </c>
      <c r="B538" t="s">
        <v>54</v>
      </c>
      <c r="C538" t="s">
        <v>31</v>
      </c>
      <c r="D538" t="s">
        <v>241</v>
      </c>
      <c r="E538" t="s">
        <v>33</v>
      </c>
      <c r="F538" t="s">
        <v>242</v>
      </c>
      <c r="G538" t="s">
        <v>157</v>
      </c>
      <c r="H538" s="1">
        <v>44308</v>
      </c>
      <c r="I538" t="s">
        <v>112</v>
      </c>
      <c r="J538" t="s">
        <v>78</v>
      </c>
      <c r="K538">
        <v>2021</v>
      </c>
      <c r="L538">
        <v>709</v>
      </c>
      <c r="M538">
        <v>12</v>
      </c>
      <c r="N538">
        <v>450</v>
      </c>
      <c r="O538">
        <v>319050</v>
      </c>
      <c r="P538">
        <v>31905</v>
      </c>
      <c r="Q538">
        <v>287145</v>
      </c>
      <c r="R538">
        <v>159.57</v>
      </c>
      <c r="S538">
        <v>8508</v>
      </c>
      <c r="T538">
        <v>278637</v>
      </c>
    </row>
    <row r="539" spans="1:20" x14ac:dyDescent="0.35">
      <c r="A539" t="s">
        <v>29</v>
      </c>
      <c r="B539" t="s">
        <v>47</v>
      </c>
      <c r="C539" t="s">
        <v>43</v>
      </c>
      <c r="D539" t="s">
        <v>271</v>
      </c>
      <c r="E539" t="s">
        <v>45</v>
      </c>
      <c r="F539" t="s">
        <v>272</v>
      </c>
      <c r="G539" t="s">
        <v>157</v>
      </c>
      <c r="H539" s="1">
        <v>44232</v>
      </c>
      <c r="I539" t="s">
        <v>52</v>
      </c>
      <c r="J539" t="s">
        <v>36</v>
      </c>
      <c r="K539">
        <v>2021</v>
      </c>
      <c r="L539">
        <v>612</v>
      </c>
      <c r="M539">
        <v>148</v>
      </c>
      <c r="N539">
        <v>23</v>
      </c>
      <c r="O539">
        <v>14076</v>
      </c>
      <c r="P539">
        <v>1407.6000000000001</v>
      </c>
      <c r="Q539">
        <v>12668.4</v>
      </c>
      <c r="R539">
        <v>6.8849999999999998</v>
      </c>
      <c r="S539">
        <v>90576</v>
      </c>
      <c r="T539">
        <v>-77907.600000000006</v>
      </c>
    </row>
    <row r="540" spans="1:20" x14ac:dyDescent="0.35">
      <c r="A540" t="s">
        <v>20</v>
      </c>
      <c r="B540" t="s">
        <v>42</v>
      </c>
      <c r="C540" t="s">
        <v>43</v>
      </c>
      <c r="D540" t="s">
        <v>185</v>
      </c>
      <c r="E540" t="s">
        <v>45</v>
      </c>
      <c r="F540" t="s">
        <v>186</v>
      </c>
      <c r="G540" t="s">
        <v>157</v>
      </c>
      <c r="H540" s="1">
        <v>44326</v>
      </c>
      <c r="I540" t="s">
        <v>77</v>
      </c>
      <c r="J540" t="s">
        <v>78</v>
      </c>
      <c r="K540">
        <v>2021</v>
      </c>
      <c r="L540">
        <v>1915</v>
      </c>
      <c r="M540">
        <v>148</v>
      </c>
      <c r="N540">
        <v>188</v>
      </c>
      <c r="O540">
        <v>360020</v>
      </c>
      <c r="P540">
        <v>36002</v>
      </c>
      <c r="Q540">
        <v>324018</v>
      </c>
      <c r="R540">
        <v>179.55</v>
      </c>
      <c r="S540">
        <v>283420</v>
      </c>
      <c r="T540">
        <v>40598</v>
      </c>
    </row>
    <row r="541" spans="1:20" x14ac:dyDescent="0.35">
      <c r="A541" t="s">
        <v>37</v>
      </c>
      <c r="B541" t="s">
        <v>38</v>
      </c>
      <c r="C541" t="s">
        <v>43</v>
      </c>
      <c r="D541" t="s">
        <v>262</v>
      </c>
      <c r="E541" t="s">
        <v>45</v>
      </c>
      <c r="F541" t="s">
        <v>263</v>
      </c>
      <c r="G541" t="s">
        <v>157</v>
      </c>
      <c r="H541" s="1">
        <v>44368</v>
      </c>
      <c r="I541" t="s">
        <v>144</v>
      </c>
      <c r="J541" t="s">
        <v>78</v>
      </c>
      <c r="K541">
        <v>2021</v>
      </c>
      <c r="L541">
        <v>289</v>
      </c>
      <c r="M541">
        <v>148</v>
      </c>
      <c r="N541">
        <v>30</v>
      </c>
      <c r="O541">
        <v>8670</v>
      </c>
      <c r="P541">
        <v>867</v>
      </c>
      <c r="Q541">
        <v>7803</v>
      </c>
      <c r="R541">
        <v>4.3380000000000001</v>
      </c>
      <c r="S541">
        <v>42772</v>
      </c>
      <c r="T541">
        <v>-34969</v>
      </c>
    </row>
    <row r="542" spans="1:20" x14ac:dyDescent="0.35">
      <c r="A542" t="s">
        <v>53</v>
      </c>
      <c r="B542" t="s">
        <v>65</v>
      </c>
      <c r="C542" t="s">
        <v>43</v>
      </c>
      <c r="D542" t="s">
        <v>129</v>
      </c>
      <c r="E542" t="s">
        <v>45</v>
      </c>
      <c r="F542" t="s">
        <v>130</v>
      </c>
      <c r="G542" t="s">
        <v>157</v>
      </c>
      <c r="H542" s="1">
        <v>44213</v>
      </c>
      <c r="I542" t="s">
        <v>35</v>
      </c>
      <c r="J542" t="s">
        <v>36</v>
      </c>
      <c r="K542">
        <v>2021</v>
      </c>
      <c r="L542">
        <v>1024</v>
      </c>
      <c r="M542">
        <v>148</v>
      </c>
      <c r="N542">
        <v>450</v>
      </c>
      <c r="O542">
        <v>460800</v>
      </c>
      <c r="P542">
        <v>46080</v>
      </c>
      <c r="Q542">
        <v>414720</v>
      </c>
      <c r="R542">
        <v>230.31</v>
      </c>
      <c r="S542">
        <v>151552</v>
      </c>
      <c r="T542">
        <v>263168</v>
      </c>
    </row>
    <row r="543" spans="1:20" x14ac:dyDescent="0.35">
      <c r="A543" t="s">
        <v>20</v>
      </c>
      <c r="B543" t="s">
        <v>65</v>
      </c>
      <c r="C543" t="s">
        <v>48</v>
      </c>
      <c r="D543" t="s">
        <v>275</v>
      </c>
      <c r="E543" t="s">
        <v>50</v>
      </c>
      <c r="F543" t="s">
        <v>120</v>
      </c>
      <c r="G543" t="s">
        <v>157</v>
      </c>
      <c r="H543" s="1">
        <v>44226</v>
      </c>
      <c r="I543" t="s">
        <v>35</v>
      </c>
      <c r="J543" t="s">
        <v>36</v>
      </c>
      <c r="K543">
        <v>2021</v>
      </c>
      <c r="L543">
        <v>409</v>
      </c>
      <c r="M543">
        <v>308</v>
      </c>
      <c r="N543">
        <v>188</v>
      </c>
      <c r="O543">
        <v>76892</v>
      </c>
      <c r="P543">
        <v>7689.2000000000007</v>
      </c>
      <c r="Q543">
        <v>69202.8</v>
      </c>
      <c r="R543">
        <v>38.362499999999997</v>
      </c>
      <c r="S543">
        <v>125972</v>
      </c>
      <c r="T543">
        <v>-56769.2</v>
      </c>
    </row>
    <row r="544" spans="1:20" x14ac:dyDescent="0.35">
      <c r="A544" t="s">
        <v>53</v>
      </c>
      <c r="B544" t="s">
        <v>21</v>
      </c>
      <c r="C544" t="s">
        <v>48</v>
      </c>
      <c r="D544" t="s">
        <v>257</v>
      </c>
      <c r="E544" t="s">
        <v>50</v>
      </c>
      <c r="F544" t="s">
        <v>258</v>
      </c>
      <c r="G544" t="s">
        <v>157</v>
      </c>
      <c r="H544" s="1">
        <v>44216</v>
      </c>
      <c r="I544" t="s">
        <v>35</v>
      </c>
      <c r="J544" t="s">
        <v>36</v>
      </c>
      <c r="K544">
        <v>2021</v>
      </c>
      <c r="L544">
        <v>518</v>
      </c>
      <c r="M544">
        <v>308</v>
      </c>
      <c r="N544">
        <v>450</v>
      </c>
      <c r="O544">
        <v>233100</v>
      </c>
      <c r="P544">
        <v>23310</v>
      </c>
      <c r="Q544">
        <v>209790</v>
      </c>
      <c r="R544">
        <v>116.64</v>
      </c>
      <c r="S544">
        <v>159544</v>
      </c>
      <c r="T544">
        <v>50246</v>
      </c>
    </row>
    <row r="545" spans="1:20" x14ac:dyDescent="0.35">
      <c r="A545" t="s">
        <v>53</v>
      </c>
      <c r="B545" t="s">
        <v>47</v>
      </c>
      <c r="C545" t="s">
        <v>102</v>
      </c>
      <c r="D545" t="s">
        <v>300</v>
      </c>
      <c r="E545" t="s">
        <v>104</v>
      </c>
      <c r="F545" t="s">
        <v>150</v>
      </c>
      <c r="G545" t="s">
        <v>157</v>
      </c>
      <c r="H545" s="1">
        <v>44417</v>
      </c>
      <c r="I545" t="s">
        <v>41</v>
      </c>
      <c r="J545" t="s">
        <v>28</v>
      </c>
      <c r="K545">
        <v>2021</v>
      </c>
      <c r="L545">
        <v>3592</v>
      </c>
      <c r="M545">
        <v>320</v>
      </c>
      <c r="N545">
        <v>450</v>
      </c>
      <c r="O545">
        <v>1616400</v>
      </c>
      <c r="P545">
        <v>161640</v>
      </c>
      <c r="Q545">
        <v>1454760</v>
      </c>
      <c r="R545">
        <v>808.11</v>
      </c>
      <c r="S545">
        <v>1149440</v>
      </c>
      <c r="T545">
        <v>305320</v>
      </c>
    </row>
    <row r="546" spans="1:20" x14ac:dyDescent="0.35">
      <c r="A546" t="s">
        <v>79</v>
      </c>
      <c r="B546" t="s">
        <v>30</v>
      </c>
      <c r="C546" t="s">
        <v>102</v>
      </c>
      <c r="D546" t="s">
        <v>174</v>
      </c>
      <c r="E546" t="s">
        <v>104</v>
      </c>
      <c r="F546" t="s">
        <v>148</v>
      </c>
      <c r="G546" t="s">
        <v>157</v>
      </c>
      <c r="H546" s="1">
        <v>44318</v>
      </c>
      <c r="I546" t="s">
        <v>77</v>
      </c>
      <c r="J546" t="s">
        <v>78</v>
      </c>
      <c r="K546">
        <v>2021</v>
      </c>
      <c r="L546">
        <v>3089</v>
      </c>
      <c r="M546">
        <v>320</v>
      </c>
      <c r="N546">
        <v>18</v>
      </c>
      <c r="O546">
        <v>55602</v>
      </c>
      <c r="P546">
        <v>5560.2000000000007</v>
      </c>
      <c r="Q546">
        <v>50041.8</v>
      </c>
      <c r="R546">
        <v>27.799199999999999</v>
      </c>
      <c r="S546">
        <v>988480</v>
      </c>
      <c r="T546">
        <v>-938438.2</v>
      </c>
    </row>
    <row r="547" spans="1:20" x14ac:dyDescent="0.35">
      <c r="A547" t="s">
        <v>37</v>
      </c>
      <c r="B547" t="s">
        <v>42</v>
      </c>
      <c r="C547" t="s">
        <v>102</v>
      </c>
      <c r="D547" t="s">
        <v>103</v>
      </c>
      <c r="E547" t="s">
        <v>104</v>
      </c>
      <c r="F547" t="s">
        <v>105</v>
      </c>
      <c r="G547" t="s">
        <v>157</v>
      </c>
      <c r="H547" s="1">
        <v>44212</v>
      </c>
      <c r="I547" t="s">
        <v>35</v>
      </c>
      <c r="J547" t="s">
        <v>36</v>
      </c>
      <c r="K547">
        <v>2021</v>
      </c>
      <c r="L547">
        <v>848</v>
      </c>
      <c r="M547">
        <v>320</v>
      </c>
      <c r="N547">
        <v>525</v>
      </c>
      <c r="O547">
        <v>445200</v>
      </c>
      <c r="P547">
        <v>44520</v>
      </c>
      <c r="Q547">
        <v>400680</v>
      </c>
      <c r="R547">
        <v>222.70500000000001</v>
      </c>
      <c r="S547">
        <v>271360</v>
      </c>
      <c r="T547">
        <v>129320</v>
      </c>
    </row>
    <row r="548" spans="1:20" x14ac:dyDescent="0.35">
      <c r="A548" t="s">
        <v>37</v>
      </c>
      <c r="B548" t="s">
        <v>38</v>
      </c>
      <c r="C548" t="s">
        <v>31</v>
      </c>
      <c r="D548" t="s">
        <v>117</v>
      </c>
      <c r="E548" t="s">
        <v>33</v>
      </c>
      <c r="F548" t="s">
        <v>118</v>
      </c>
      <c r="G548" t="s">
        <v>157</v>
      </c>
      <c r="H548" s="1">
        <v>44455</v>
      </c>
      <c r="I548" t="s">
        <v>27</v>
      </c>
      <c r="J548" t="s">
        <v>28</v>
      </c>
      <c r="K548">
        <v>2021</v>
      </c>
      <c r="L548">
        <v>3038</v>
      </c>
      <c r="M548">
        <v>12</v>
      </c>
      <c r="N548">
        <v>11</v>
      </c>
      <c r="O548">
        <v>33418</v>
      </c>
      <c r="P548">
        <v>3675.9799999999996</v>
      </c>
      <c r="Q548">
        <v>29742.02</v>
      </c>
      <c r="R548">
        <v>15.77436</v>
      </c>
      <c r="S548">
        <v>36456</v>
      </c>
      <c r="T548">
        <v>-6713.98</v>
      </c>
    </row>
    <row r="549" spans="1:20" x14ac:dyDescent="0.35">
      <c r="A549" t="s">
        <v>37</v>
      </c>
      <c r="B549" t="s">
        <v>21</v>
      </c>
      <c r="C549" t="s">
        <v>48</v>
      </c>
      <c r="D549" t="s">
        <v>98</v>
      </c>
      <c r="E549" t="s">
        <v>50</v>
      </c>
      <c r="F549" t="s">
        <v>99</v>
      </c>
      <c r="G549" t="s">
        <v>157</v>
      </c>
      <c r="H549" s="1">
        <v>44233</v>
      </c>
      <c r="I549" t="s">
        <v>52</v>
      </c>
      <c r="J549" t="s">
        <v>36</v>
      </c>
      <c r="K549">
        <v>2021</v>
      </c>
      <c r="L549">
        <v>1895</v>
      </c>
      <c r="M549">
        <v>308</v>
      </c>
      <c r="N549">
        <v>11</v>
      </c>
      <c r="O549">
        <v>20845</v>
      </c>
      <c r="P549">
        <v>2292.9499999999998</v>
      </c>
      <c r="Q549">
        <v>18552.05</v>
      </c>
      <c r="R549">
        <v>9.8371700000000004</v>
      </c>
      <c r="S549">
        <v>583660</v>
      </c>
      <c r="T549">
        <v>-565107.94999999995</v>
      </c>
    </row>
    <row r="550" spans="1:20" x14ac:dyDescent="0.35">
      <c r="A550" t="s">
        <v>53</v>
      </c>
      <c r="B550" t="s">
        <v>38</v>
      </c>
      <c r="C550" t="s">
        <v>55</v>
      </c>
      <c r="D550" t="s">
        <v>68</v>
      </c>
      <c r="E550" t="s">
        <v>57</v>
      </c>
      <c r="F550" t="s">
        <v>69</v>
      </c>
      <c r="G550" t="s">
        <v>157</v>
      </c>
      <c r="H550" s="1">
        <v>44439</v>
      </c>
      <c r="I550" t="s">
        <v>41</v>
      </c>
      <c r="J550" t="s">
        <v>28</v>
      </c>
      <c r="K550">
        <v>2021</v>
      </c>
      <c r="L550">
        <v>3373</v>
      </c>
      <c r="M550">
        <v>4</v>
      </c>
      <c r="N550">
        <v>450</v>
      </c>
      <c r="O550">
        <v>1517850</v>
      </c>
      <c r="P550">
        <v>166963.5</v>
      </c>
      <c r="Q550">
        <v>1350886.5</v>
      </c>
      <c r="R550">
        <v>750.53700000000003</v>
      </c>
      <c r="S550">
        <v>13492</v>
      </c>
      <c r="T550">
        <v>1337394.5</v>
      </c>
    </row>
    <row r="551" spans="1:20" x14ac:dyDescent="0.35">
      <c r="A551" t="s">
        <v>20</v>
      </c>
      <c r="B551" t="s">
        <v>65</v>
      </c>
      <c r="C551" t="s">
        <v>55</v>
      </c>
      <c r="D551" t="s">
        <v>175</v>
      </c>
      <c r="E551" t="s">
        <v>57</v>
      </c>
      <c r="F551" t="s">
        <v>176</v>
      </c>
      <c r="G551" t="s">
        <v>157</v>
      </c>
      <c r="H551" s="1">
        <v>44291</v>
      </c>
      <c r="I551" t="s">
        <v>112</v>
      </c>
      <c r="J551" t="s">
        <v>78</v>
      </c>
      <c r="K551">
        <v>2021</v>
      </c>
      <c r="L551">
        <v>2929</v>
      </c>
      <c r="M551">
        <v>4</v>
      </c>
      <c r="N551">
        <v>188</v>
      </c>
      <c r="O551">
        <v>550652</v>
      </c>
      <c r="P551">
        <v>60571.72</v>
      </c>
      <c r="Q551">
        <v>490080.28</v>
      </c>
      <c r="R551">
        <v>271.56124999999997</v>
      </c>
      <c r="S551">
        <v>11716</v>
      </c>
      <c r="T551">
        <v>478364.28</v>
      </c>
    </row>
    <row r="552" spans="1:20" x14ac:dyDescent="0.35">
      <c r="A552" t="s">
        <v>37</v>
      </c>
      <c r="B552" t="s">
        <v>65</v>
      </c>
      <c r="C552" t="s">
        <v>22</v>
      </c>
      <c r="D552" t="s">
        <v>92</v>
      </c>
      <c r="E552" t="s">
        <v>24</v>
      </c>
      <c r="F552" t="s">
        <v>93</v>
      </c>
      <c r="G552" t="s">
        <v>157</v>
      </c>
      <c r="H552" s="1">
        <v>44300</v>
      </c>
      <c r="I552" t="s">
        <v>112</v>
      </c>
      <c r="J552" t="s">
        <v>78</v>
      </c>
      <c r="K552">
        <v>2021</v>
      </c>
      <c r="L552">
        <v>919</v>
      </c>
      <c r="M552">
        <v>6</v>
      </c>
      <c r="N552">
        <v>525</v>
      </c>
      <c r="O552">
        <v>482475</v>
      </c>
      <c r="P552">
        <v>53072.25</v>
      </c>
      <c r="Q552">
        <v>429402.75</v>
      </c>
      <c r="R552">
        <v>238.60900000000001</v>
      </c>
      <c r="S552">
        <v>5514</v>
      </c>
      <c r="T552">
        <v>423888.75</v>
      </c>
    </row>
    <row r="553" spans="1:20" x14ac:dyDescent="0.35">
      <c r="A553" t="s">
        <v>29</v>
      </c>
      <c r="B553" t="s">
        <v>47</v>
      </c>
      <c r="C553" t="s">
        <v>22</v>
      </c>
      <c r="D553" t="s">
        <v>194</v>
      </c>
      <c r="E553" t="s">
        <v>24</v>
      </c>
      <c r="F553" t="s">
        <v>195</v>
      </c>
      <c r="G553" t="s">
        <v>157</v>
      </c>
      <c r="H553" s="1">
        <v>44438</v>
      </c>
      <c r="I553" t="s">
        <v>41</v>
      </c>
      <c r="J553" t="s">
        <v>28</v>
      </c>
      <c r="K553">
        <v>2021</v>
      </c>
      <c r="L553">
        <v>2588</v>
      </c>
      <c r="M553">
        <v>6</v>
      </c>
      <c r="N553">
        <v>23</v>
      </c>
      <c r="O553">
        <v>59524</v>
      </c>
      <c r="P553">
        <v>6547.64</v>
      </c>
      <c r="Q553">
        <v>52976.36</v>
      </c>
      <c r="R553">
        <v>28.795950000000001</v>
      </c>
      <c r="S553">
        <v>15528</v>
      </c>
      <c r="T553">
        <v>37448.36</v>
      </c>
    </row>
    <row r="554" spans="1:20" x14ac:dyDescent="0.35">
      <c r="A554" t="s">
        <v>79</v>
      </c>
      <c r="B554" t="s">
        <v>38</v>
      </c>
      <c r="C554" t="s">
        <v>31</v>
      </c>
      <c r="D554" t="s">
        <v>127</v>
      </c>
      <c r="E554" t="s">
        <v>33</v>
      </c>
      <c r="F554" t="s">
        <v>128</v>
      </c>
      <c r="G554" t="s">
        <v>157</v>
      </c>
      <c r="H554" s="1">
        <v>44306</v>
      </c>
      <c r="I554" t="s">
        <v>112</v>
      </c>
      <c r="J554" t="s">
        <v>78</v>
      </c>
      <c r="K554">
        <v>2021</v>
      </c>
      <c r="L554">
        <v>4831</v>
      </c>
      <c r="M554">
        <v>12</v>
      </c>
      <c r="N554">
        <v>18</v>
      </c>
      <c r="O554">
        <v>86958</v>
      </c>
      <c r="P554">
        <v>9565.3799999999992</v>
      </c>
      <c r="Q554">
        <v>77392.62</v>
      </c>
      <c r="R554">
        <v>42.997680000000003</v>
      </c>
      <c r="S554">
        <v>57972</v>
      </c>
      <c r="T554">
        <v>19420.619999999995</v>
      </c>
    </row>
    <row r="555" spans="1:20" x14ac:dyDescent="0.35">
      <c r="A555" t="s">
        <v>37</v>
      </c>
      <c r="B555" t="s">
        <v>65</v>
      </c>
      <c r="C555" t="s">
        <v>102</v>
      </c>
      <c r="D555" t="s">
        <v>236</v>
      </c>
      <c r="E555" t="s">
        <v>104</v>
      </c>
      <c r="F555" t="s">
        <v>126</v>
      </c>
      <c r="G555" t="s">
        <v>157</v>
      </c>
      <c r="H555" s="1">
        <v>44312</v>
      </c>
      <c r="I555" t="s">
        <v>112</v>
      </c>
      <c r="J555" t="s">
        <v>78</v>
      </c>
      <c r="K555">
        <v>2021</v>
      </c>
      <c r="L555">
        <v>3155</v>
      </c>
      <c r="M555">
        <v>320</v>
      </c>
      <c r="N555">
        <v>30</v>
      </c>
      <c r="O555">
        <v>94650</v>
      </c>
      <c r="P555">
        <v>10411.5</v>
      </c>
      <c r="Q555">
        <v>84238.5</v>
      </c>
      <c r="R555">
        <v>46.796199999999999</v>
      </c>
      <c r="S555">
        <v>1009600</v>
      </c>
      <c r="T555">
        <v>-925361.5</v>
      </c>
    </row>
    <row r="556" spans="1:20" x14ac:dyDescent="0.35">
      <c r="A556" t="s">
        <v>37</v>
      </c>
      <c r="B556" t="s">
        <v>54</v>
      </c>
      <c r="C556" t="s">
        <v>22</v>
      </c>
      <c r="D556" t="s">
        <v>96</v>
      </c>
      <c r="E556" t="s">
        <v>24</v>
      </c>
      <c r="F556" t="s">
        <v>97</v>
      </c>
      <c r="G556" t="s">
        <v>157</v>
      </c>
      <c r="H556" s="1">
        <v>44323</v>
      </c>
      <c r="I556" t="s">
        <v>77</v>
      </c>
      <c r="J556" t="s">
        <v>78</v>
      </c>
      <c r="K556">
        <v>2021</v>
      </c>
      <c r="L556">
        <v>3281</v>
      </c>
      <c r="M556">
        <v>6</v>
      </c>
      <c r="N556">
        <v>11</v>
      </c>
      <c r="O556">
        <v>36091</v>
      </c>
      <c r="P556">
        <v>4330.92</v>
      </c>
      <c r="Q556">
        <v>31760.080000000002</v>
      </c>
      <c r="R556">
        <v>16.841439999999999</v>
      </c>
      <c r="S556">
        <v>19686</v>
      </c>
      <c r="T556">
        <v>12074.080000000002</v>
      </c>
    </row>
    <row r="557" spans="1:20" x14ac:dyDescent="0.35">
      <c r="A557" t="s">
        <v>53</v>
      </c>
      <c r="B557" t="s">
        <v>38</v>
      </c>
      <c r="C557" t="s">
        <v>31</v>
      </c>
      <c r="D557" t="s">
        <v>235</v>
      </c>
      <c r="E557" t="s">
        <v>33</v>
      </c>
      <c r="F557" t="s">
        <v>165</v>
      </c>
      <c r="G557" t="s">
        <v>157</v>
      </c>
      <c r="H557" s="1">
        <v>44442</v>
      </c>
      <c r="I557" t="s">
        <v>27</v>
      </c>
      <c r="J557" t="s">
        <v>28</v>
      </c>
      <c r="K557">
        <v>2021</v>
      </c>
      <c r="L557">
        <v>4194</v>
      </c>
      <c r="M557">
        <v>12</v>
      </c>
      <c r="N557">
        <v>450</v>
      </c>
      <c r="O557">
        <v>1887300</v>
      </c>
      <c r="P557">
        <v>226476</v>
      </c>
      <c r="Q557">
        <v>1660824</v>
      </c>
      <c r="R557">
        <v>922.68</v>
      </c>
      <c r="S557">
        <v>50328</v>
      </c>
      <c r="T557">
        <v>1610496</v>
      </c>
    </row>
    <row r="558" spans="1:20" x14ac:dyDescent="0.35">
      <c r="A558" t="s">
        <v>37</v>
      </c>
      <c r="B558" t="s">
        <v>47</v>
      </c>
      <c r="C558" t="s">
        <v>31</v>
      </c>
      <c r="D558" t="s">
        <v>94</v>
      </c>
      <c r="E558" t="s">
        <v>33</v>
      </c>
      <c r="F558" t="s">
        <v>95</v>
      </c>
      <c r="G558" t="s">
        <v>157</v>
      </c>
      <c r="H558" s="1">
        <v>44318</v>
      </c>
      <c r="I558" t="s">
        <v>77</v>
      </c>
      <c r="J558" t="s">
        <v>78</v>
      </c>
      <c r="K558">
        <v>2021</v>
      </c>
      <c r="L558">
        <v>1086</v>
      </c>
      <c r="M558">
        <v>12</v>
      </c>
      <c r="N558">
        <v>30</v>
      </c>
      <c r="O558">
        <v>32580</v>
      </c>
      <c r="P558">
        <v>3909.6</v>
      </c>
      <c r="Q558">
        <v>28670.400000000001</v>
      </c>
      <c r="R558">
        <v>15.928000000000001</v>
      </c>
      <c r="S558">
        <v>13032</v>
      </c>
      <c r="T558">
        <v>15638.400000000001</v>
      </c>
    </row>
    <row r="559" spans="1:20" x14ac:dyDescent="0.35">
      <c r="A559" t="s">
        <v>53</v>
      </c>
      <c r="B559" t="s">
        <v>54</v>
      </c>
      <c r="C559" t="s">
        <v>31</v>
      </c>
      <c r="D559" t="s">
        <v>241</v>
      </c>
      <c r="E559" t="s">
        <v>33</v>
      </c>
      <c r="F559" t="s">
        <v>242</v>
      </c>
      <c r="G559" t="s">
        <v>157</v>
      </c>
      <c r="H559" s="1">
        <v>44309</v>
      </c>
      <c r="I559" t="s">
        <v>112</v>
      </c>
      <c r="J559" t="s">
        <v>78</v>
      </c>
      <c r="K559">
        <v>2021</v>
      </c>
      <c r="L559">
        <v>2580</v>
      </c>
      <c r="M559">
        <v>12</v>
      </c>
      <c r="N559">
        <v>450</v>
      </c>
      <c r="O559">
        <v>1161000</v>
      </c>
      <c r="P559">
        <v>139320</v>
      </c>
      <c r="Q559">
        <v>1021680</v>
      </c>
      <c r="R559">
        <v>567.6</v>
      </c>
      <c r="S559">
        <v>30960</v>
      </c>
      <c r="T559">
        <v>990720</v>
      </c>
    </row>
    <row r="560" spans="1:20" x14ac:dyDescent="0.35">
      <c r="A560" t="s">
        <v>37</v>
      </c>
      <c r="B560" t="s">
        <v>47</v>
      </c>
      <c r="C560" t="s">
        <v>31</v>
      </c>
      <c r="D560" t="s">
        <v>94</v>
      </c>
      <c r="E560" t="s">
        <v>33</v>
      </c>
      <c r="F560" t="s">
        <v>95</v>
      </c>
      <c r="G560" t="s">
        <v>157</v>
      </c>
      <c r="H560" s="1">
        <v>44282</v>
      </c>
      <c r="I560" t="s">
        <v>109</v>
      </c>
      <c r="J560" t="s">
        <v>36</v>
      </c>
      <c r="K560">
        <v>2021</v>
      </c>
      <c r="L560">
        <v>1436</v>
      </c>
      <c r="M560">
        <v>12</v>
      </c>
      <c r="N560">
        <v>525</v>
      </c>
      <c r="O560">
        <v>753900</v>
      </c>
      <c r="P560">
        <v>90468</v>
      </c>
      <c r="Q560">
        <v>663432</v>
      </c>
      <c r="R560">
        <v>368.67599999999999</v>
      </c>
      <c r="S560">
        <v>17232</v>
      </c>
      <c r="T560">
        <v>646200</v>
      </c>
    </row>
    <row r="561" spans="1:20" x14ac:dyDescent="0.35">
      <c r="A561" t="s">
        <v>37</v>
      </c>
      <c r="B561" t="s">
        <v>47</v>
      </c>
      <c r="C561" t="s">
        <v>31</v>
      </c>
      <c r="D561" t="s">
        <v>94</v>
      </c>
      <c r="E561" t="s">
        <v>33</v>
      </c>
      <c r="F561" t="s">
        <v>95</v>
      </c>
      <c r="G561" t="s">
        <v>157</v>
      </c>
      <c r="H561" s="1">
        <v>44399</v>
      </c>
      <c r="I561" t="s">
        <v>89</v>
      </c>
      <c r="J561" t="s">
        <v>28</v>
      </c>
      <c r="K561">
        <v>2021</v>
      </c>
      <c r="L561">
        <v>1480</v>
      </c>
      <c r="M561">
        <v>12</v>
      </c>
      <c r="N561">
        <v>30</v>
      </c>
      <c r="O561">
        <v>44400</v>
      </c>
      <c r="P561">
        <v>5328</v>
      </c>
      <c r="Q561">
        <v>39072</v>
      </c>
      <c r="R561">
        <v>21.700800000000001</v>
      </c>
      <c r="S561">
        <v>17760</v>
      </c>
      <c r="T561">
        <v>21312</v>
      </c>
    </row>
    <row r="562" spans="1:20" x14ac:dyDescent="0.35">
      <c r="A562" t="s">
        <v>37</v>
      </c>
      <c r="B562" t="s">
        <v>42</v>
      </c>
      <c r="C562" t="s">
        <v>43</v>
      </c>
      <c r="D562" t="s">
        <v>87</v>
      </c>
      <c r="E562" t="s">
        <v>45</v>
      </c>
      <c r="F562" t="s">
        <v>88</v>
      </c>
      <c r="G562" t="s">
        <v>157</v>
      </c>
      <c r="H562" s="1">
        <v>44233</v>
      </c>
      <c r="I562" t="s">
        <v>52</v>
      </c>
      <c r="J562" t="s">
        <v>36</v>
      </c>
      <c r="K562">
        <v>2021</v>
      </c>
      <c r="L562">
        <v>1674</v>
      </c>
      <c r="M562">
        <v>148</v>
      </c>
      <c r="N562">
        <v>525</v>
      </c>
      <c r="O562">
        <v>878850</v>
      </c>
      <c r="P562">
        <v>105462</v>
      </c>
      <c r="Q562">
        <v>773388</v>
      </c>
      <c r="R562">
        <v>429.66</v>
      </c>
      <c r="S562">
        <v>247752</v>
      </c>
      <c r="T562">
        <v>525636</v>
      </c>
    </row>
    <row r="563" spans="1:20" x14ac:dyDescent="0.35">
      <c r="A563" t="s">
        <v>79</v>
      </c>
      <c r="B563" t="s">
        <v>84</v>
      </c>
      <c r="C563" t="s">
        <v>48</v>
      </c>
      <c r="D563" t="s">
        <v>299</v>
      </c>
      <c r="E563" t="s">
        <v>50</v>
      </c>
      <c r="F563" t="s">
        <v>167</v>
      </c>
      <c r="G563" t="s">
        <v>157</v>
      </c>
      <c r="H563" s="1">
        <v>44200</v>
      </c>
      <c r="I563" t="s">
        <v>35</v>
      </c>
      <c r="J563" t="s">
        <v>36</v>
      </c>
      <c r="K563">
        <v>2021</v>
      </c>
      <c r="L563">
        <v>2531</v>
      </c>
      <c r="M563">
        <v>308</v>
      </c>
      <c r="N563">
        <v>18</v>
      </c>
      <c r="O563">
        <v>45558</v>
      </c>
      <c r="P563">
        <v>5466.96</v>
      </c>
      <c r="Q563">
        <v>40091.040000000001</v>
      </c>
      <c r="R563">
        <v>22.271039999999999</v>
      </c>
      <c r="S563">
        <v>779548</v>
      </c>
      <c r="T563">
        <v>-739456.96</v>
      </c>
    </row>
    <row r="564" spans="1:20" x14ac:dyDescent="0.35">
      <c r="A564" t="s">
        <v>37</v>
      </c>
      <c r="B564" t="s">
        <v>21</v>
      </c>
      <c r="C564" t="s">
        <v>48</v>
      </c>
      <c r="D564" t="s">
        <v>98</v>
      </c>
      <c r="E564" t="s">
        <v>50</v>
      </c>
      <c r="F564" t="s">
        <v>99</v>
      </c>
      <c r="G564" t="s">
        <v>157</v>
      </c>
      <c r="H564" s="1">
        <v>44203</v>
      </c>
      <c r="I564" t="s">
        <v>35</v>
      </c>
      <c r="J564" t="s">
        <v>36</v>
      </c>
      <c r="K564">
        <v>2021</v>
      </c>
      <c r="L564">
        <v>1183</v>
      </c>
      <c r="M564">
        <v>308</v>
      </c>
      <c r="N564">
        <v>525</v>
      </c>
      <c r="O564">
        <v>621075</v>
      </c>
      <c r="P564">
        <v>74529</v>
      </c>
      <c r="Q564">
        <v>546546</v>
      </c>
      <c r="R564">
        <v>303.68799999999999</v>
      </c>
      <c r="S564">
        <v>364364</v>
      </c>
      <c r="T564">
        <v>182182</v>
      </c>
    </row>
    <row r="565" spans="1:20" x14ac:dyDescent="0.35">
      <c r="A565" t="s">
        <v>37</v>
      </c>
      <c r="B565" t="s">
        <v>21</v>
      </c>
      <c r="C565" t="s">
        <v>102</v>
      </c>
      <c r="D565" t="s">
        <v>137</v>
      </c>
      <c r="E565" t="s">
        <v>104</v>
      </c>
      <c r="F565" t="s">
        <v>138</v>
      </c>
      <c r="G565" t="s">
        <v>157</v>
      </c>
      <c r="H565" s="1">
        <v>44209</v>
      </c>
      <c r="I565" t="s">
        <v>35</v>
      </c>
      <c r="J565" t="s">
        <v>36</v>
      </c>
      <c r="K565">
        <v>2021</v>
      </c>
      <c r="L565">
        <v>4106</v>
      </c>
      <c r="M565">
        <v>320</v>
      </c>
      <c r="N565">
        <v>11</v>
      </c>
      <c r="O565">
        <v>45166</v>
      </c>
      <c r="P565">
        <v>5419.92</v>
      </c>
      <c r="Q565">
        <v>39746.080000000002</v>
      </c>
      <c r="R565">
        <v>21.076439999999998</v>
      </c>
      <c r="S565">
        <v>1313920</v>
      </c>
      <c r="T565">
        <v>-1274173.92</v>
      </c>
    </row>
    <row r="566" spans="1:20" x14ac:dyDescent="0.35">
      <c r="A566" t="s">
        <v>37</v>
      </c>
      <c r="B566" t="s">
        <v>42</v>
      </c>
      <c r="C566" t="s">
        <v>102</v>
      </c>
      <c r="D566" t="s">
        <v>103</v>
      </c>
      <c r="E566" t="s">
        <v>104</v>
      </c>
      <c r="F566" t="s">
        <v>105</v>
      </c>
      <c r="G566" t="s">
        <v>157</v>
      </c>
      <c r="H566" s="1">
        <v>44299</v>
      </c>
      <c r="I566" t="s">
        <v>112</v>
      </c>
      <c r="J566" t="s">
        <v>78</v>
      </c>
      <c r="K566">
        <v>2021</v>
      </c>
      <c r="L566">
        <v>3281</v>
      </c>
      <c r="M566">
        <v>320</v>
      </c>
      <c r="N566">
        <v>11</v>
      </c>
      <c r="O566">
        <v>36091</v>
      </c>
      <c r="P566">
        <v>4330.92</v>
      </c>
      <c r="Q566">
        <v>31760.080000000002</v>
      </c>
      <c r="R566">
        <v>16.841439999999999</v>
      </c>
      <c r="S566">
        <v>1049920</v>
      </c>
      <c r="T566">
        <v>-1018159.92</v>
      </c>
    </row>
    <row r="567" spans="1:20" x14ac:dyDescent="0.35">
      <c r="A567" t="s">
        <v>37</v>
      </c>
      <c r="B567" t="s">
        <v>65</v>
      </c>
      <c r="C567" t="s">
        <v>55</v>
      </c>
      <c r="D567" t="s">
        <v>70</v>
      </c>
      <c r="E567" t="s">
        <v>57</v>
      </c>
      <c r="F567" t="s">
        <v>71</v>
      </c>
      <c r="G567" t="s">
        <v>157</v>
      </c>
      <c r="H567" s="1">
        <v>44419</v>
      </c>
      <c r="I567" t="s">
        <v>41</v>
      </c>
      <c r="J567" t="s">
        <v>28</v>
      </c>
      <c r="K567">
        <v>2021</v>
      </c>
      <c r="L567">
        <v>3026</v>
      </c>
      <c r="M567">
        <v>4</v>
      </c>
      <c r="N567">
        <v>30</v>
      </c>
      <c r="O567">
        <v>90780</v>
      </c>
      <c r="P567">
        <v>10893.6</v>
      </c>
      <c r="Q567">
        <v>79886.399999999994</v>
      </c>
      <c r="R567">
        <v>44.378399999999992</v>
      </c>
      <c r="S567">
        <v>12104</v>
      </c>
      <c r="T567">
        <v>67782.399999999994</v>
      </c>
    </row>
    <row r="568" spans="1:20" x14ac:dyDescent="0.35">
      <c r="A568" t="s">
        <v>37</v>
      </c>
      <c r="B568" t="s">
        <v>30</v>
      </c>
      <c r="C568" t="s">
        <v>55</v>
      </c>
      <c r="D568" t="s">
        <v>189</v>
      </c>
      <c r="E568" t="s">
        <v>57</v>
      </c>
      <c r="F568" t="s">
        <v>128</v>
      </c>
      <c r="G568" t="s">
        <v>157</v>
      </c>
      <c r="H568" s="1">
        <v>44294</v>
      </c>
      <c r="I568" t="s">
        <v>112</v>
      </c>
      <c r="J568" t="s">
        <v>78</v>
      </c>
      <c r="K568">
        <v>2021</v>
      </c>
      <c r="L568">
        <v>1108</v>
      </c>
      <c r="M568">
        <v>4</v>
      </c>
      <c r="N568">
        <v>525</v>
      </c>
      <c r="O568">
        <v>581700</v>
      </c>
      <c r="P568">
        <v>75621</v>
      </c>
      <c r="Q568">
        <v>506079</v>
      </c>
      <c r="R568">
        <v>281.05349999999999</v>
      </c>
      <c r="S568">
        <v>4432</v>
      </c>
      <c r="T568">
        <v>501647</v>
      </c>
    </row>
    <row r="569" spans="1:20" x14ac:dyDescent="0.35">
      <c r="A569" t="s">
        <v>37</v>
      </c>
      <c r="B569" t="s">
        <v>54</v>
      </c>
      <c r="C569" t="s">
        <v>22</v>
      </c>
      <c r="D569" t="s">
        <v>214</v>
      </c>
      <c r="E569" t="s">
        <v>24</v>
      </c>
      <c r="F569" t="s">
        <v>215</v>
      </c>
      <c r="G569" t="s">
        <v>157</v>
      </c>
      <c r="H569" s="1">
        <v>44337</v>
      </c>
      <c r="I569" t="s">
        <v>77</v>
      </c>
      <c r="J569" t="s">
        <v>78</v>
      </c>
      <c r="K569">
        <v>2021</v>
      </c>
      <c r="L569">
        <v>1558</v>
      </c>
      <c r="M569">
        <v>6</v>
      </c>
      <c r="N569">
        <v>11</v>
      </c>
      <c r="O569">
        <v>17138</v>
      </c>
      <c r="P569">
        <v>2227.94</v>
      </c>
      <c r="Q569">
        <v>14910.06</v>
      </c>
      <c r="R569">
        <v>7.90482</v>
      </c>
      <c r="S569">
        <v>9348</v>
      </c>
      <c r="T569">
        <v>5562.0599999999995</v>
      </c>
    </row>
    <row r="570" spans="1:20" x14ac:dyDescent="0.35">
      <c r="A570" t="s">
        <v>37</v>
      </c>
      <c r="B570" t="s">
        <v>21</v>
      </c>
      <c r="C570" t="s">
        <v>22</v>
      </c>
      <c r="D570" t="s">
        <v>110</v>
      </c>
      <c r="E570" t="s">
        <v>24</v>
      </c>
      <c r="F570" t="s">
        <v>111</v>
      </c>
      <c r="G570" t="s">
        <v>157</v>
      </c>
      <c r="H570" s="1">
        <v>44276</v>
      </c>
      <c r="I570" t="s">
        <v>109</v>
      </c>
      <c r="J570" t="s">
        <v>36</v>
      </c>
      <c r="K570">
        <v>2021</v>
      </c>
      <c r="L570">
        <v>2706</v>
      </c>
      <c r="M570">
        <v>6</v>
      </c>
      <c r="N570">
        <v>30</v>
      </c>
      <c r="O570">
        <v>81180</v>
      </c>
      <c r="P570">
        <v>10553.4</v>
      </c>
      <c r="Q570">
        <v>70626.600000000006</v>
      </c>
      <c r="R570">
        <v>39.237000000000002</v>
      </c>
      <c r="S570">
        <v>16236</v>
      </c>
      <c r="T570">
        <v>54390.600000000006</v>
      </c>
    </row>
    <row r="571" spans="1:20" x14ac:dyDescent="0.35">
      <c r="A571" t="s">
        <v>53</v>
      </c>
      <c r="B571" t="s">
        <v>65</v>
      </c>
      <c r="C571" t="s">
        <v>31</v>
      </c>
      <c r="D571" t="s">
        <v>143</v>
      </c>
      <c r="E571" t="s">
        <v>33</v>
      </c>
      <c r="F571" t="s">
        <v>126</v>
      </c>
      <c r="G571" t="s">
        <v>157</v>
      </c>
      <c r="H571" s="1">
        <v>44370</v>
      </c>
      <c r="I571" t="s">
        <v>144</v>
      </c>
      <c r="J571" t="s">
        <v>78</v>
      </c>
      <c r="K571">
        <v>2021</v>
      </c>
      <c r="L571">
        <v>968</v>
      </c>
      <c r="M571">
        <v>12</v>
      </c>
      <c r="N571">
        <v>450</v>
      </c>
      <c r="O571">
        <v>435600</v>
      </c>
      <c r="P571">
        <v>56628</v>
      </c>
      <c r="Q571">
        <v>378972</v>
      </c>
      <c r="R571">
        <v>210.62700000000001</v>
      </c>
      <c r="S571">
        <v>11616</v>
      </c>
      <c r="T571">
        <v>367356</v>
      </c>
    </row>
    <row r="572" spans="1:20" x14ac:dyDescent="0.35">
      <c r="A572" t="s">
        <v>37</v>
      </c>
      <c r="B572" t="s">
        <v>54</v>
      </c>
      <c r="C572" t="s">
        <v>31</v>
      </c>
      <c r="D572" t="s">
        <v>183</v>
      </c>
      <c r="E572" t="s">
        <v>33</v>
      </c>
      <c r="F572" t="s">
        <v>184</v>
      </c>
      <c r="G572" t="s">
        <v>157</v>
      </c>
      <c r="H572" s="1">
        <v>44218</v>
      </c>
      <c r="I572" t="s">
        <v>35</v>
      </c>
      <c r="J572" t="s">
        <v>36</v>
      </c>
      <c r="K572">
        <v>2021</v>
      </c>
      <c r="L572">
        <v>3169</v>
      </c>
      <c r="M572">
        <v>12</v>
      </c>
      <c r="N572">
        <v>30</v>
      </c>
      <c r="O572">
        <v>95070</v>
      </c>
      <c r="P572">
        <v>12359.1</v>
      </c>
      <c r="Q572">
        <v>82710.899999999994</v>
      </c>
      <c r="R572">
        <v>45.953400000000002</v>
      </c>
      <c r="S572">
        <v>38028</v>
      </c>
      <c r="T572">
        <v>44682.899999999994</v>
      </c>
    </row>
    <row r="573" spans="1:20" x14ac:dyDescent="0.35">
      <c r="A573" t="s">
        <v>29</v>
      </c>
      <c r="B573" t="s">
        <v>84</v>
      </c>
      <c r="C573" t="s">
        <v>31</v>
      </c>
      <c r="D573" t="s">
        <v>177</v>
      </c>
      <c r="E573" t="s">
        <v>33</v>
      </c>
      <c r="F573" t="s">
        <v>178</v>
      </c>
      <c r="G573" t="s">
        <v>157</v>
      </c>
      <c r="H573" s="1">
        <v>44225</v>
      </c>
      <c r="I573" t="s">
        <v>35</v>
      </c>
      <c r="J573" t="s">
        <v>36</v>
      </c>
      <c r="K573">
        <v>2021</v>
      </c>
      <c r="L573">
        <v>1878</v>
      </c>
      <c r="M573">
        <v>12</v>
      </c>
      <c r="N573">
        <v>23</v>
      </c>
      <c r="O573">
        <v>43194</v>
      </c>
      <c r="P573">
        <v>5615.22</v>
      </c>
      <c r="Q573">
        <v>37578.78</v>
      </c>
      <c r="R573">
        <v>20.423249999999999</v>
      </c>
      <c r="S573">
        <v>22536</v>
      </c>
      <c r="T573">
        <v>15042.779999999999</v>
      </c>
    </row>
    <row r="574" spans="1:20" x14ac:dyDescent="0.35">
      <c r="A574" t="s">
        <v>37</v>
      </c>
      <c r="B574" t="s">
        <v>47</v>
      </c>
      <c r="C574" t="s">
        <v>43</v>
      </c>
      <c r="D574" t="s">
        <v>233</v>
      </c>
      <c r="E574" t="s">
        <v>45</v>
      </c>
      <c r="F574" t="s">
        <v>234</v>
      </c>
      <c r="G574" t="s">
        <v>157</v>
      </c>
      <c r="H574" s="1">
        <v>44260</v>
      </c>
      <c r="I574" t="s">
        <v>109</v>
      </c>
      <c r="J574" t="s">
        <v>36</v>
      </c>
      <c r="K574">
        <v>2021</v>
      </c>
      <c r="L574">
        <v>3158</v>
      </c>
      <c r="M574">
        <v>148</v>
      </c>
      <c r="N574">
        <v>525</v>
      </c>
      <c r="O574">
        <v>1657950</v>
      </c>
      <c r="P574">
        <v>215533.5</v>
      </c>
      <c r="Q574">
        <v>1442416.5</v>
      </c>
      <c r="R574">
        <v>801.44399999999996</v>
      </c>
      <c r="S574">
        <v>467384</v>
      </c>
      <c r="T574">
        <v>975032.5</v>
      </c>
    </row>
    <row r="575" spans="1:20" x14ac:dyDescent="0.35">
      <c r="A575" t="s">
        <v>79</v>
      </c>
      <c r="B575" t="s">
        <v>38</v>
      </c>
      <c r="C575" t="s">
        <v>43</v>
      </c>
      <c r="D575" t="s">
        <v>282</v>
      </c>
      <c r="E575" t="s">
        <v>45</v>
      </c>
      <c r="F575" t="s">
        <v>260</v>
      </c>
      <c r="G575" t="s">
        <v>157</v>
      </c>
      <c r="H575" s="1">
        <v>44241</v>
      </c>
      <c r="I575" t="s">
        <v>52</v>
      </c>
      <c r="J575" t="s">
        <v>36</v>
      </c>
      <c r="K575">
        <v>2021</v>
      </c>
      <c r="L575">
        <v>492</v>
      </c>
      <c r="M575">
        <v>148</v>
      </c>
      <c r="N575">
        <v>18</v>
      </c>
      <c r="O575">
        <v>8856</v>
      </c>
      <c r="P575">
        <v>1151.28</v>
      </c>
      <c r="Q575">
        <v>7704.72</v>
      </c>
      <c r="R575">
        <v>4.2803999999999993</v>
      </c>
      <c r="S575">
        <v>72816</v>
      </c>
      <c r="T575">
        <v>-65111.28</v>
      </c>
    </row>
    <row r="576" spans="1:20" x14ac:dyDescent="0.35">
      <c r="A576" t="s">
        <v>79</v>
      </c>
      <c r="B576" t="s">
        <v>30</v>
      </c>
      <c r="C576" t="s">
        <v>43</v>
      </c>
      <c r="D576" t="s">
        <v>201</v>
      </c>
      <c r="E576" t="s">
        <v>45</v>
      </c>
      <c r="F576" t="s">
        <v>161</v>
      </c>
      <c r="G576" t="s">
        <v>157</v>
      </c>
      <c r="H576" s="1">
        <v>44425</v>
      </c>
      <c r="I576" t="s">
        <v>41</v>
      </c>
      <c r="J576" t="s">
        <v>28</v>
      </c>
      <c r="K576">
        <v>2021</v>
      </c>
      <c r="L576">
        <v>1216</v>
      </c>
      <c r="M576">
        <v>148</v>
      </c>
      <c r="N576">
        <v>18</v>
      </c>
      <c r="O576">
        <v>21888</v>
      </c>
      <c r="P576">
        <v>2845.44</v>
      </c>
      <c r="Q576">
        <v>19042.560000000001</v>
      </c>
      <c r="R576">
        <v>10.575719999999999</v>
      </c>
      <c r="S576">
        <v>179968</v>
      </c>
      <c r="T576">
        <v>-160925.44</v>
      </c>
    </row>
    <row r="577" spans="1:20" x14ac:dyDescent="0.35">
      <c r="A577" t="s">
        <v>29</v>
      </c>
      <c r="B577" t="s">
        <v>21</v>
      </c>
      <c r="C577" t="s">
        <v>48</v>
      </c>
      <c r="D577" t="s">
        <v>250</v>
      </c>
      <c r="E577" t="s">
        <v>50</v>
      </c>
      <c r="F577" t="s">
        <v>159</v>
      </c>
      <c r="G577" t="s">
        <v>157</v>
      </c>
      <c r="H577" s="1">
        <v>44368</v>
      </c>
      <c r="I577" t="s">
        <v>144</v>
      </c>
      <c r="J577" t="s">
        <v>78</v>
      </c>
      <c r="K577">
        <v>2021</v>
      </c>
      <c r="L577">
        <v>1878</v>
      </c>
      <c r="M577">
        <v>308</v>
      </c>
      <c r="N577">
        <v>23</v>
      </c>
      <c r="O577">
        <v>43194</v>
      </c>
      <c r="P577">
        <v>5615.22</v>
      </c>
      <c r="Q577">
        <v>37578.78</v>
      </c>
      <c r="R577">
        <v>20.423249999999999</v>
      </c>
      <c r="S577">
        <v>578424</v>
      </c>
      <c r="T577">
        <v>-540845.22</v>
      </c>
    </row>
    <row r="578" spans="1:20" x14ac:dyDescent="0.35">
      <c r="A578" t="s">
        <v>37</v>
      </c>
      <c r="B578" t="s">
        <v>21</v>
      </c>
      <c r="C578" t="s">
        <v>102</v>
      </c>
      <c r="D578" t="s">
        <v>137</v>
      </c>
      <c r="E578" t="s">
        <v>104</v>
      </c>
      <c r="F578" t="s">
        <v>138</v>
      </c>
      <c r="G578" t="s">
        <v>157</v>
      </c>
      <c r="H578" s="1">
        <v>44244</v>
      </c>
      <c r="I578" t="s">
        <v>52</v>
      </c>
      <c r="J578" t="s">
        <v>36</v>
      </c>
      <c r="K578">
        <v>2021</v>
      </c>
      <c r="L578">
        <v>1428</v>
      </c>
      <c r="M578">
        <v>320</v>
      </c>
      <c r="N578">
        <v>11</v>
      </c>
      <c r="O578">
        <v>15708</v>
      </c>
      <c r="P578">
        <v>2042.04</v>
      </c>
      <c r="Q578">
        <v>13665.96</v>
      </c>
      <c r="R578">
        <v>7.2471000000000005</v>
      </c>
      <c r="S578">
        <v>456960</v>
      </c>
      <c r="T578">
        <v>-443294.04</v>
      </c>
    </row>
    <row r="579" spans="1:20" x14ac:dyDescent="0.35">
      <c r="A579" t="s">
        <v>79</v>
      </c>
      <c r="B579" t="s">
        <v>38</v>
      </c>
      <c r="C579" t="s">
        <v>102</v>
      </c>
      <c r="D579" t="s">
        <v>298</v>
      </c>
      <c r="E579" t="s">
        <v>104</v>
      </c>
      <c r="F579" t="s">
        <v>260</v>
      </c>
      <c r="G579" t="s">
        <v>157</v>
      </c>
      <c r="H579" s="1">
        <v>44218</v>
      </c>
      <c r="I579" t="s">
        <v>35</v>
      </c>
      <c r="J579" t="s">
        <v>36</v>
      </c>
      <c r="K579">
        <v>2021</v>
      </c>
      <c r="L579">
        <v>492</v>
      </c>
      <c r="M579">
        <v>320</v>
      </c>
      <c r="N579">
        <v>18</v>
      </c>
      <c r="O579">
        <v>8856</v>
      </c>
      <c r="P579">
        <v>1151.28</v>
      </c>
      <c r="Q579">
        <v>7704.72</v>
      </c>
      <c r="R579">
        <v>4.2803999999999993</v>
      </c>
      <c r="S579">
        <v>157440</v>
      </c>
      <c r="T579">
        <v>-149735.28</v>
      </c>
    </row>
    <row r="580" spans="1:20" x14ac:dyDescent="0.35">
      <c r="A580" t="s">
        <v>37</v>
      </c>
      <c r="B580" t="s">
        <v>21</v>
      </c>
      <c r="C580" t="s">
        <v>55</v>
      </c>
      <c r="D580" t="s">
        <v>125</v>
      </c>
      <c r="E580" t="s">
        <v>57</v>
      </c>
      <c r="F580" t="s">
        <v>126</v>
      </c>
      <c r="G580" t="s">
        <v>157</v>
      </c>
      <c r="H580" s="1">
        <v>44460</v>
      </c>
      <c r="I580" t="s">
        <v>27</v>
      </c>
      <c r="J580" t="s">
        <v>28</v>
      </c>
      <c r="K580">
        <v>2021</v>
      </c>
      <c r="L580">
        <v>2092</v>
      </c>
      <c r="M580">
        <v>4</v>
      </c>
      <c r="N580">
        <v>30</v>
      </c>
      <c r="O580">
        <v>62760</v>
      </c>
      <c r="P580">
        <v>8786.4</v>
      </c>
      <c r="Q580">
        <v>53973.599999999999</v>
      </c>
      <c r="R580">
        <v>29.979599999999998</v>
      </c>
      <c r="S580">
        <v>8368</v>
      </c>
      <c r="T580">
        <v>45605.599999999999</v>
      </c>
    </row>
    <row r="581" spans="1:20" x14ac:dyDescent="0.35">
      <c r="A581" t="s">
        <v>29</v>
      </c>
      <c r="B581" t="s">
        <v>30</v>
      </c>
      <c r="C581" t="s">
        <v>31</v>
      </c>
      <c r="D581" t="s">
        <v>82</v>
      </c>
      <c r="E581" t="s">
        <v>33</v>
      </c>
      <c r="F581" t="s">
        <v>83</v>
      </c>
      <c r="G581" t="s">
        <v>157</v>
      </c>
      <c r="H581" s="1">
        <v>44247</v>
      </c>
      <c r="I581" t="s">
        <v>52</v>
      </c>
      <c r="J581" t="s">
        <v>36</v>
      </c>
      <c r="K581">
        <v>2021</v>
      </c>
      <c r="L581">
        <v>2120</v>
      </c>
      <c r="M581">
        <v>12</v>
      </c>
      <c r="N581">
        <v>23</v>
      </c>
      <c r="O581">
        <v>48760</v>
      </c>
      <c r="P581">
        <v>6826.4</v>
      </c>
      <c r="Q581">
        <v>41933.599999999999</v>
      </c>
      <c r="R581">
        <v>22.7943</v>
      </c>
      <c r="S581">
        <v>25440</v>
      </c>
      <c r="T581">
        <v>16493.599999999999</v>
      </c>
    </row>
    <row r="582" spans="1:20" x14ac:dyDescent="0.35">
      <c r="A582" t="s">
        <v>53</v>
      </c>
      <c r="B582" t="s">
        <v>84</v>
      </c>
      <c r="C582" t="s">
        <v>55</v>
      </c>
      <c r="D582" t="s">
        <v>303</v>
      </c>
      <c r="E582" t="s">
        <v>57</v>
      </c>
      <c r="F582" t="s">
        <v>114</v>
      </c>
      <c r="G582" t="s">
        <v>157</v>
      </c>
      <c r="H582" s="1">
        <v>44311</v>
      </c>
      <c r="I582" t="s">
        <v>112</v>
      </c>
      <c r="J582" t="s">
        <v>78</v>
      </c>
      <c r="K582">
        <v>2021</v>
      </c>
      <c r="L582">
        <v>1212</v>
      </c>
      <c r="M582">
        <v>4</v>
      </c>
      <c r="N582">
        <v>450</v>
      </c>
      <c r="O582">
        <v>545400</v>
      </c>
      <c r="P582">
        <v>76356</v>
      </c>
      <c r="Q582">
        <v>469044</v>
      </c>
      <c r="R582">
        <v>260.58</v>
      </c>
      <c r="S582">
        <v>4848</v>
      </c>
      <c r="T582">
        <v>464196</v>
      </c>
    </row>
    <row r="583" spans="1:20" x14ac:dyDescent="0.35">
      <c r="A583" t="s">
        <v>29</v>
      </c>
      <c r="B583" t="s">
        <v>30</v>
      </c>
      <c r="C583" t="s">
        <v>55</v>
      </c>
      <c r="D583" t="s">
        <v>160</v>
      </c>
      <c r="E583" t="s">
        <v>57</v>
      </c>
      <c r="F583" t="s">
        <v>161</v>
      </c>
      <c r="G583" t="s">
        <v>157</v>
      </c>
      <c r="H583" s="1">
        <v>44350</v>
      </c>
      <c r="I583" t="s">
        <v>144</v>
      </c>
      <c r="J583" t="s">
        <v>78</v>
      </c>
      <c r="K583">
        <v>2021</v>
      </c>
      <c r="L583">
        <v>2760</v>
      </c>
      <c r="M583">
        <v>4</v>
      </c>
      <c r="N583">
        <v>23</v>
      </c>
      <c r="O583">
        <v>63480</v>
      </c>
      <c r="P583">
        <v>8887.2000000000007</v>
      </c>
      <c r="Q583">
        <v>54592.800000000003</v>
      </c>
      <c r="R583">
        <v>29.67</v>
      </c>
      <c r="S583">
        <v>11040</v>
      </c>
      <c r="T583">
        <v>43552.800000000003</v>
      </c>
    </row>
    <row r="584" spans="1:20" x14ac:dyDescent="0.35">
      <c r="A584" t="s">
        <v>37</v>
      </c>
      <c r="B584" t="s">
        <v>54</v>
      </c>
      <c r="C584" t="s">
        <v>22</v>
      </c>
      <c r="D584" t="s">
        <v>96</v>
      </c>
      <c r="E584" t="s">
        <v>24</v>
      </c>
      <c r="F584" t="s">
        <v>97</v>
      </c>
      <c r="G584" t="s">
        <v>157</v>
      </c>
      <c r="H584" s="1">
        <v>44425</v>
      </c>
      <c r="I584" t="s">
        <v>41</v>
      </c>
      <c r="J584" t="s">
        <v>28</v>
      </c>
      <c r="K584">
        <v>2021</v>
      </c>
      <c r="L584">
        <v>240</v>
      </c>
      <c r="M584">
        <v>6</v>
      </c>
      <c r="N584">
        <v>525</v>
      </c>
      <c r="O584">
        <v>126000</v>
      </c>
      <c r="P584">
        <v>17640</v>
      </c>
      <c r="Q584">
        <v>108360</v>
      </c>
      <c r="R584">
        <v>60.2</v>
      </c>
      <c r="S584">
        <v>1440</v>
      </c>
      <c r="T584">
        <v>106920</v>
      </c>
    </row>
    <row r="585" spans="1:20" x14ac:dyDescent="0.35">
      <c r="A585" t="s">
        <v>29</v>
      </c>
      <c r="B585" t="s">
        <v>54</v>
      </c>
      <c r="C585" t="s">
        <v>22</v>
      </c>
      <c r="D585" t="s">
        <v>304</v>
      </c>
      <c r="E585" t="s">
        <v>24</v>
      </c>
      <c r="F585" t="s">
        <v>191</v>
      </c>
      <c r="G585" t="s">
        <v>157</v>
      </c>
      <c r="H585" s="1">
        <v>44231</v>
      </c>
      <c r="I585" t="s">
        <v>52</v>
      </c>
      <c r="J585" t="s">
        <v>36</v>
      </c>
      <c r="K585">
        <v>2021</v>
      </c>
      <c r="L585">
        <v>2760</v>
      </c>
      <c r="M585">
        <v>6</v>
      </c>
      <c r="N585">
        <v>23</v>
      </c>
      <c r="O585">
        <v>63480</v>
      </c>
      <c r="P585">
        <v>8887.2000000000007</v>
      </c>
      <c r="Q585">
        <v>54592.800000000003</v>
      </c>
      <c r="R585">
        <v>29.67</v>
      </c>
      <c r="S585">
        <v>16560</v>
      </c>
      <c r="T585">
        <v>38032.800000000003</v>
      </c>
    </row>
    <row r="586" spans="1:20" x14ac:dyDescent="0.35">
      <c r="A586" t="s">
        <v>37</v>
      </c>
      <c r="B586" t="s">
        <v>21</v>
      </c>
      <c r="C586" t="s">
        <v>43</v>
      </c>
      <c r="D586" t="s">
        <v>245</v>
      </c>
      <c r="E586" t="s">
        <v>45</v>
      </c>
      <c r="F586" t="s">
        <v>246</v>
      </c>
      <c r="G586" t="s">
        <v>157</v>
      </c>
      <c r="H586" s="1">
        <v>44453</v>
      </c>
      <c r="I586" t="s">
        <v>27</v>
      </c>
      <c r="J586" t="s">
        <v>28</v>
      </c>
      <c r="K586">
        <v>2021</v>
      </c>
      <c r="L586">
        <v>727</v>
      </c>
      <c r="M586">
        <v>148</v>
      </c>
      <c r="N586">
        <v>30</v>
      </c>
      <c r="O586">
        <v>21810</v>
      </c>
      <c r="P586">
        <v>3053.4</v>
      </c>
      <c r="Q586">
        <v>18756.599999999999</v>
      </c>
      <c r="R586">
        <v>10.423200000000001</v>
      </c>
      <c r="S586">
        <v>107596</v>
      </c>
      <c r="T586">
        <v>-88839.4</v>
      </c>
    </row>
    <row r="587" spans="1:20" x14ac:dyDescent="0.35">
      <c r="A587" t="s">
        <v>37</v>
      </c>
      <c r="B587" t="s">
        <v>30</v>
      </c>
      <c r="C587" t="s">
        <v>48</v>
      </c>
      <c r="D587" t="s">
        <v>231</v>
      </c>
      <c r="E587" t="s">
        <v>50</v>
      </c>
      <c r="F587" t="s">
        <v>232</v>
      </c>
      <c r="G587" t="s">
        <v>157</v>
      </c>
      <c r="H587" s="1">
        <v>44234</v>
      </c>
      <c r="I587" t="s">
        <v>52</v>
      </c>
      <c r="J587" t="s">
        <v>36</v>
      </c>
      <c r="K587">
        <v>2021</v>
      </c>
      <c r="L587">
        <v>3484</v>
      </c>
      <c r="M587">
        <v>308</v>
      </c>
      <c r="N587">
        <v>11</v>
      </c>
      <c r="O587">
        <v>38324</v>
      </c>
      <c r="P587">
        <v>5365.3600000000006</v>
      </c>
      <c r="Q587">
        <v>32958.639999999999</v>
      </c>
      <c r="R587">
        <v>17.47606</v>
      </c>
      <c r="S587">
        <v>1073072</v>
      </c>
      <c r="T587">
        <v>-1040113.36</v>
      </c>
    </row>
    <row r="588" spans="1:20" x14ac:dyDescent="0.35">
      <c r="A588" t="s">
        <v>53</v>
      </c>
      <c r="B588" t="s">
        <v>42</v>
      </c>
      <c r="C588" t="s">
        <v>48</v>
      </c>
      <c r="D588" t="s">
        <v>135</v>
      </c>
      <c r="E588" t="s">
        <v>50</v>
      </c>
      <c r="F588" t="s">
        <v>136</v>
      </c>
      <c r="G588" t="s">
        <v>157</v>
      </c>
      <c r="H588" s="1">
        <v>44433</v>
      </c>
      <c r="I588" t="s">
        <v>41</v>
      </c>
      <c r="J588" t="s">
        <v>28</v>
      </c>
      <c r="K588">
        <v>2021</v>
      </c>
      <c r="L588">
        <v>1795</v>
      </c>
      <c r="M588">
        <v>308</v>
      </c>
      <c r="N588">
        <v>450</v>
      </c>
      <c r="O588">
        <v>807750</v>
      </c>
      <c r="P588">
        <v>113085.00000000001</v>
      </c>
      <c r="Q588">
        <v>694665</v>
      </c>
      <c r="R588">
        <v>385.96800000000002</v>
      </c>
      <c r="S588">
        <v>552860</v>
      </c>
      <c r="T588">
        <v>141805</v>
      </c>
    </row>
    <row r="589" spans="1:20" x14ac:dyDescent="0.35">
      <c r="A589" t="s">
        <v>53</v>
      </c>
      <c r="B589" t="s">
        <v>54</v>
      </c>
      <c r="C589" t="s">
        <v>48</v>
      </c>
      <c r="D589" t="s">
        <v>267</v>
      </c>
      <c r="E589" t="s">
        <v>50</v>
      </c>
      <c r="F589" t="s">
        <v>215</v>
      </c>
      <c r="G589" t="s">
        <v>157</v>
      </c>
      <c r="H589" s="1">
        <v>44332</v>
      </c>
      <c r="I589" t="s">
        <v>77</v>
      </c>
      <c r="J589" t="s">
        <v>78</v>
      </c>
      <c r="K589">
        <v>2021</v>
      </c>
      <c r="L589">
        <v>1212</v>
      </c>
      <c r="M589">
        <v>308</v>
      </c>
      <c r="N589">
        <v>450</v>
      </c>
      <c r="O589">
        <v>545400</v>
      </c>
      <c r="P589">
        <v>76356</v>
      </c>
      <c r="Q589">
        <v>469044</v>
      </c>
      <c r="R589">
        <v>260.58</v>
      </c>
      <c r="S589">
        <v>373296</v>
      </c>
      <c r="T589">
        <v>95748</v>
      </c>
    </row>
    <row r="590" spans="1:20" x14ac:dyDescent="0.35">
      <c r="A590" t="s">
        <v>79</v>
      </c>
      <c r="B590" t="s">
        <v>30</v>
      </c>
      <c r="C590" t="s">
        <v>102</v>
      </c>
      <c r="D590" t="s">
        <v>204</v>
      </c>
      <c r="E590" t="s">
        <v>104</v>
      </c>
      <c r="F590" t="s">
        <v>205</v>
      </c>
      <c r="G590" t="s">
        <v>157</v>
      </c>
      <c r="H590" s="1">
        <v>44363</v>
      </c>
      <c r="I590" t="s">
        <v>144</v>
      </c>
      <c r="J590" t="s">
        <v>78</v>
      </c>
      <c r="K590">
        <v>2021</v>
      </c>
      <c r="L590">
        <v>3497</v>
      </c>
      <c r="M590">
        <v>320</v>
      </c>
      <c r="N590">
        <v>18</v>
      </c>
      <c r="O590">
        <v>62946</v>
      </c>
      <c r="P590">
        <v>8812.44</v>
      </c>
      <c r="Q590">
        <v>54133.56</v>
      </c>
      <c r="R590">
        <v>30.072479999999999</v>
      </c>
      <c r="S590">
        <v>1119040</v>
      </c>
      <c r="T590">
        <v>-1064906.44</v>
      </c>
    </row>
    <row r="591" spans="1:20" x14ac:dyDescent="0.35">
      <c r="A591" t="s">
        <v>20</v>
      </c>
      <c r="B591" t="s">
        <v>65</v>
      </c>
      <c r="C591" t="s">
        <v>55</v>
      </c>
      <c r="D591" t="s">
        <v>175</v>
      </c>
      <c r="E591" t="s">
        <v>57</v>
      </c>
      <c r="F591" t="s">
        <v>176</v>
      </c>
      <c r="G591" t="s">
        <v>157</v>
      </c>
      <c r="H591" s="1">
        <v>44349</v>
      </c>
      <c r="I591" t="s">
        <v>144</v>
      </c>
      <c r="J591" t="s">
        <v>78</v>
      </c>
      <c r="K591">
        <v>2021</v>
      </c>
      <c r="L591">
        <v>1409</v>
      </c>
      <c r="M591">
        <v>4</v>
      </c>
      <c r="N591">
        <v>188</v>
      </c>
      <c r="O591">
        <v>264892</v>
      </c>
      <c r="P591">
        <v>39733.799999999996</v>
      </c>
      <c r="Q591">
        <v>225158.2</v>
      </c>
      <c r="R591">
        <v>124.7375</v>
      </c>
      <c r="S591">
        <v>5636</v>
      </c>
      <c r="T591">
        <v>219522.2</v>
      </c>
    </row>
    <row r="592" spans="1:20" x14ac:dyDescent="0.35">
      <c r="A592" t="s">
        <v>20</v>
      </c>
      <c r="B592" t="s">
        <v>30</v>
      </c>
      <c r="C592" t="s">
        <v>55</v>
      </c>
      <c r="D592" t="s">
        <v>289</v>
      </c>
      <c r="E592" t="s">
        <v>57</v>
      </c>
      <c r="F592" t="s">
        <v>230</v>
      </c>
      <c r="G592" t="s">
        <v>157</v>
      </c>
      <c r="H592" s="1">
        <v>44365</v>
      </c>
      <c r="I592" t="s">
        <v>144</v>
      </c>
      <c r="J592" t="s">
        <v>78</v>
      </c>
      <c r="K592">
        <v>2021</v>
      </c>
      <c r="L592">
        <v>1302</v>
      </c>
      <c r="M592">
        <v>4</v>
      </c>
      <c r="N592">
        <v>188</v>
      </c>
      <c r="O592">
        <v>244776</v>
      </c>
      <c r="P592">
        <v>36716.400000000001</v>
      </c>
      <c r="Q592">
        <v>208059.6</v>
      </c>
      <c r="R592">
        <v>115.28125</v>
      </c>
      <c r="S592">
        <v>5208</v>
      </c>
      <c r="T592">
        <v>202851.6</v>
      </c>
    </row>
    <row r="593" spans="1:20" x14ac:dyDescent="0.35">
      <c r="A593" t="s">
        <v>53</v>
      </c>
      <c r="B593" t="s">
        <v>30</v>
      </c>
      <c r="C593" t="s">
        <v>22</v>
      </c>
      <c r="D593" t="s">
        <v>113</v>
      </c>
      <c r="E593" t="s">
        <v>24</v>
      </c>
      <c r="F593" t="s">
        <v>114</v>
      </c>
      <c r="G593" t="s">
        <v>157</v>
      </c>
      <c r="H593" s="1">
        <v>44210</v>
      </c>
      <c r="I593" t="s">
        <v>35</v>
      </c>
      <c r="J593" t="s">
        <v>36</v>
      </c>
      <c r="K593">
        <v>2021</v>
      </c>
      <c r="L593">
        <v>655</v>
      </c>
      <c r="M593">
        <v>6</v>
      </c>
      <c r="N593">
        <v>450</v>
      </c>
      <c r="O593">
        <v>294750</v>
      </c>
      <c r="P593">
        <v>44212.5</v>
      </c>
      <c r="Q593">
        <v>250537.5</v>
      </c>
      <c r="R593">
        <v>139.22999999999999</v>
      </c>
      <c r="S593">
        <v>3930</v>
      </c>
      <c r="T593">
        <v>246607.5</v>
      </c>
    </row>
    <row r="594" spans="1:20" x14ac:dyDescent="0.35">
      <c r="A594" t="s">
        <v>37</v>
      </c>
      <c r="B594" t="s">
        <v>47</v>
      </c>
      <c r="C594" t="s">
        <v>31</v>
      </c>
      <c r="D594" t="s">
        <v>149</v>
      </c>
      <c r="E594" t="s">
        <v>33</v>
      </c>
      <c r="F594" t="s">
        <v>150</v>
      </c>
      <c r="G594" t="s">
        <v>157</v>
      </c>
      <c r="H594" s="1">
        <v>44334</v>
      </c>
      <c r="I594" t="s">
        <v>77</v>
      </c>
      <c r="J594" t="s">
        <v>78</v>
      </c>
      <c r="K594">
        <v>2021</v>
      </c>
      <c r="L594">
        <v>1390</v>
      </c>
      <c r="M594">
        <v>12</v>
      </c>
      <c r="N594">
        <v>30</v>
      </c>
      <c r="O594">
        <v>41700</v>
      </c>
      <c r="P594">
        <v>6255</v>
      </c>
      <c r="Q594">
        <v>35445</v>
      </c>
      <c r="R594">
        <v>19.686</v>
      </c>
      <c r="S594">
        <v>16680</v>
      </c>
      <c r="T594">
        <v>18765</v>
      </c>
    </row>
    <row r="595" spans="1:20" x14ac:dyDescent="0.35">
      <c r="A595" t="s">
        <v>37</v>
      </c>
      <c r="B595" t="s">
        <v>47</v>
      </c>
      <c r="C595" t="s">
        <v>31</v>
      </c>
      <c r="D595" t="s">
        <v>94</v>
      </c>
      <c r="E595" t="s">
        <v>33</v>
      </c>
      <c r="F595" t="s">
        <v>95</v>
      </c>
      <c r="G595" t="s">
        <v>157</v>
      </c>
      <c r="H595" s="1">
        <v>44276</v>
      </c>
      <c r="I595" t="s">
        <v>109</v>
      </c>
      <c r="J595" t="s">
        <v>36</v>
      </c>
      <c r="K595">
        <v>2021</v>
      </c>
      <c r="L595">
        <v>3042</v>
      </c>
      <c r="M595">
        <v>12</v>
      </c>
      <c r="N595">
        <v>11</v>
      </c>
      <c r="O595">
        <v>33462</v>
      </c>
      <c r="P595">
        <v>5019.3</v>
      </c>
      <c r="Q595">
        <v>28442.7</v>
      </c>
      <c r="R595">
        <v>15.08325</v>
      </c>
      <c r="S595">
        <v>36504</v>
      </c>
      <c r="T595">
        <v>-8061.2999999999993</v>
      </c>
    </row>
    <row r="596" spans="1:20" x14ac:dyDescent="0.35">
      <c r="A596" t="s">
        <v>79</v>
      </c>
      <c r="B596" t="s">
        <v>38</v>
      </c>
      <c r="C596" t="s">
        <v>43</v>
      </c>
      <c r="D596" t="s">
        <v>282</v>
      </c>
      <c r="E596" t="s">
        <v>45</v>
      </c>
      <c r="F596" t="s">
        <v>260</v>
      </c>
      <c r="G596" t="s">
        <v>157</v>
      </c>
      <c r="H596" s="1">
        <v>44234</v>
      </c>
      <c r="I596" t="s">
        <v>52</v>
      </c>
      <c r="J596" t="s">
        <v>36</v>
      </c>
      <c r="K596">
        <v>2021</v>
      </c>
      <c r="L596">
        <v>600</v>
      </c>
      <c r="M596">
        <v>148</v>
      </c>
      <c r="N596">
        <v>18</v>
      </c>
      <c r="O596">
        <v>10800</v>
      </c>
      <c r="P596">
        <v>1620</v>
      </c>
      <c r="Q596">
        <v>9180</v>
      </c>
      <c r="R596">
        <v>5.0999999999999996</v>
      </c>
      <c r="S596">
        <v>88800</v>
      </c>
      <c r="T596">
        <v>-79620</v>
      </c>
    </row>
    <row r="597" spans="1:20" x14ac:dyDescent="0.35">
      <c r="A597" t="s">
        <v>79</v>
      </c>
      <c r="B597" t="s">
        <v>38</v>
      </c>
      <c r="C597" t="s">
        <v>43</v>
      </c>
      <c r="D597" t="s">
        <v>305</v>
      </c>
      <c r="E597" t="s">
        <v>45</v>
      </c>
      <c r="F597" t="s">
        <v>240</v>
      </c>
      <c r="G597" t="s">
        <v>157</v>
      </c>
      <c r="H597" s="1">
        <v>44328</v>
      </c>
      <c r="I597" t="s">
        <v>77</v>
      </c>
      <c r="J597" t="s">
        <v>78</v>
      </c>
      <c r="K597">
        <v>2021</v>
      </c>
      <c r="L597">
        <v>1097</v>
      </c>
      <c r="M597">
        <v>148</v>
      </c>
      <c r="N597">
        <v>18</v>
      </c>
      <c r="O597">
        <v>19746</v>
      </c>
      <c r="P597">
        <v>2961.9</v>
      </c>
      <c r="Q597">
        <v>16784.099999999999</v>
      </c>
      <c r="R597">
        <v>9.3227999999999991</v>
      </c>
      <c r="S597">
        <v>162356</v>
      </c>
      <c r="T597">
        <v>-145571.9</v>
      </c>
    </row>
    <row r="598" spans="1:20" x14ac:dyDescent="0.35">
      <c r="A598" t="s">
        <v>37</v>
      </c>
      <c r="B598" t="s">
        <v>42</v>
      </c>
      <c r="C598" t="s">
        <v>48</v>
      </c>
      <c r="D598" t="s">
        <v>121</v>
      </c>
      <c r="E598" t="s">
        <v>50</v>
      </c>
      <c r="F598" t="s">
        <v>122</v>
      </c>
      <c r="G598" t="s">
        <v>157</v>
      </c>
      <c r="H598" s="1">
        <v>44371</v>
      </c>
      <c r="I598" t="s">
        <v>144</v>
      </c>
      <c r="J598" t="s">
        <v>78</v>
      </c>
      <c r="K598">
        <v>2021</v>
      </c>
      <c r="L598">
        <v>1039</v>
      </c>
      <c r="M598">
        <v>308</v>
      </c>
      <c r="N598">
        <v>30</v>
      </c>
      <c r="O598">
        <v>31170</v>
      </c>
      <c r="P598">
        <v>4675.5</v>
      </c>
      <c r="Q598">
        <v>26494.5</v>
      </c>
      <c r="R598">
        <v>14.7135</v>
      </c>
      <c r="S598">
        <v>320012</v>
      </c>
      <c r="T598">
        <v>-293517.5</v>
      </c>
    </row>
    <row r="599" spans="1:20" x14ac:dyDescent="0.35">
      <c r="A599" t="s">
        <v>29</v>
      </c>
      <c r="B599" t="s">
        <v>42</v>
      </c>
      <c r="C599" t="s">
        <v>48</v>
      </c>
      <c r="D599" t="s">
        <v>203</v>
      </c>
      <c r="E599" t="s">
        <v>50</v>
      </c>
      <c r="F599" t="s">
        <v>188</v>
      </c>
      <c r="G599" t="s">
        <v>157</v>
      </c>
      <c r="H599" s="1">
        <v>44295</v>
      </c>
      <c r="I599" t="s">
        <v>112</v>
      </c>
      <c r="J599" t="s">
        <v>78</v>
      </c>
      <c r="K599">
        <v>2021</v>
      </c>
      <c r="L599">
        <v>1410</v>
      </c>
      <c r="M599">
        <v>308</v>
      </c>
      <c r="N599">
        <v>23</v>
      </c>
      <c r="O599">
        <v>32430</v>
      </c>
      <c r="P599">
        <v>4864.5</v>
      </c>
      <c r="Q599">
        <v>27565.5</v>
      </c>
      <c r="R599">
        <v>14.981249999999999</v>
      </c>
      <c r="S599">
        <v>434280</v>
      </c>
      <c r="T599">
        <v>-406714.5</v>
      </c>
    </row>
    <row r="600" spans="1:20" x14ac:dyDescent="0.35">
      <c r="A600" t="s">
        <v>37</v>
      </c>
      <c r="B600" t="s">
        <v>21</v>
      </c>
      <c r="C600" t="s">
        <v>22</v>
      </c>
      <c r="D600" t="s">
        <v>110</v>
      </c>
      <c r="E600" t="s">
        <v>24</v>
      </c>
      <c r="F600" t="s">
        <v>111</v>
      </c>
      <c r="G600" t="s">
        <v>157</v>
      </c>
      <c r="H600" s="1">
        <v>44308</v>
      </c>
      <c r="I600" t="s">
        <v>112</v>
      </c>
      <c r="J600" t="s">
        <v>78</v>
      </c>
      <c r="K600">
        <v>2021</v>
      </c>
      <c r="L600">
        <v>1642</v>
      </c>
      <c r="M600">
        <v>6</v>
      </c>
      <c r="N600">
        <v>11</v>
      </c>
      <c r="O600">
        <v>18062</v>
      </c>
      <c r="P600">
        <v>2709.3</v>
      </c>
      <c r="Q600">
        <v>15352.7</v>
      </c>
      <c r="R600">
        <v>8.1395999999999997</v>
      </c>
      <c r="S600">
        <v>9852</v>
      </c>
      <c r="T600">
        <v>5500.7000000000007</v>
      </c>
    </row>
    <row r="601" spans="1:20" x14ac:dyDescent="0.35">
      <c r="A601" t="s">
        <v>37</v>
      </c>
      <c r="B601" t="s">
        <v>38</v>
      </c>
      <c r="C601" t="s">
        <v>31</v>
      </c>
      <c r="D601" t="s">
        <v>39</v>
      </c>
      <c r="E601" t="s">
        <v>33</v>
      </c>
      <c r="F601" t="s">
        <v>40</v>
      </c>
      <c r="G601" t="s">
        <v>157</v>
      </c>
      <c r="H601" s="1">
        <v>44224</v>
      </c>
      <c r="I601" t="s">
        <v>35</v>
      </c>
      <c r="J601" t="s">
        <v>36</v>
      </c>
      <c r="K601">
        <v>2021</v>
      </c>
      <c r="L601">
        <v>868</v>
      </c>
      <c r="M601">
        <v>12</v>
      </c>
      <c r="N601">
        <v>11</v>
      </c>
      <c r="O601">
        <v>9548</v>
      </c>
      <c r="P601">
        <v>1432.2000000000003</v>
      </c>
      <c r="Q601">
        <v>8115.7999999999993</v>
      </c>
      <c r="R601">
        <v>4.30185</v>
      </c>
      <c r="S601">
        <v>10416</v>
      </c>
      <c r="T601">
        <v>-2300.2000000000007</v>
      </c>
    </row>
    <row r="602" spans="1:20" x14ac:dyDescent="0.35">
      <c r="A602" t="s">
        <v>37</v>
      </c>
      <c r="B602" t="s">
        <v>47</v>
      </c>
      <c r="C602" t="s">
        <v>43</v>
      </c>
      <c r="D602" t="s">
        <v>233</v>
      </c>
      <c r="E602" t="s">
        <v>45</v>
      </c>
      <c r="F602" t="s">
        <v>234</v>
      </c>
      <c r="G602" t="s">
        <v>59</v>
      </c>
      <c r="H602" s="1">
        <v>44488</v>
      </c>
      <c r="I602" t="s">
        <v>72</v>
      </c>
      <c r="J602" t="s">
        <v>61</v>
      </c>
      <c r="K602">
        <v>2021</v>
      </c>
      <c r="L602">
        <v>2510</v>
      </c>
      <c r="M602">
        <v>148</v>
      </c>
      <c r="N602">
        <v>11</v>
      </c>
      <c r="O602">
        <v>27610</v>
      </c>
      <c r="P602">
        <v>276.10000000000002</v>
      </c>
      <c r="Q602">
        <v>27333.9</v>
      </c>
      <c r="R602">
        <v>14.49756</v>
      </c>
      <c r="S602">
        <v>371480</v>
      </c>
      <c r="T602">
        <v>-344146.1</v>
      </c>
    </row>
    <row r="603" spans="1:20" x14ac:dyDescent="0.35">
      <c r="A603" t="s">
        <v>20</v>
      </c>
      <c r="B603" t="s">
        <v>84</v>
      </c>
      <c r="C603" t="s">
        <v>22</v>
      </c>
      <c r="D603" t="s">
        <v>306</v>
      </c>
      <c r="E603" t="s">
        <v>24</v>
      </c>
      <c r="F603" t="s">
        <v>307</v>
      </c>
      <c r="G603" t="s">
        <v>59</v>
      </c>
      <c r="H603" s="1">
        <v>44499</v>
      </c>
      <c r="I603" t="s">
        <v>72</v>
      </c>
      <c r="J603" t="s">
        <v>61</v>
      </c>
      <c r="K603">
        <v>2021</v>
      </c>
      <c r="L603">
        <v>1992</v>
      </c>
      <c r="M603">
        <v>6</v>
      </c>
      <c r="N603">
        <v>188</v>
      </c>
      <c r="O603">
        <v>374496</v>
      </c>
      <c r="P603">
        <v>7489.92</v>
      </c>
      <c r="Q603">
        <v>367006.08</v>
      </c>
      <c r="R603">
        <v>203.35</v>
      </c>
      <c r="S603">
        <v>11952</v>
      </c>
      <c r="T603">
        <v>355054.08000000002</v>
      </c>
    </row>
    <row r="604" spans="1:20" x14ac:dyDescent="0.35">
      <c r="A604" t="s">
        <v>37</v>
      </c>
      <c r="B604" t="s">
        <v>54</v>
      </c>
      <c r="C604" t="s">
        <v>31</v>
      </c>
      <c r="D604" t="s">
        <v>183</v>
      </c>
      <c r="E604" t="s">
        <v>33</v>
      </c>
      <c r="F604" t="s">
        <v>184</v>
      </c>
      <c r="G604" t="s">
        <v>59</v>
      </c>
      <c r="H604" s="1">
        <v>44551</v>
      </c>
      <c r="I604" t="s">
        <v>64</v>
      </c>
      <c r="J604" t="s">
        <v>61</v>
      </c>
      <c r="K604">
        <v>2021</v>
      </c>
      <c r="L604">
        <v>2416</v>
      </c>
      <c r="M604">
        <v>12</v>
      </c>
      <c r="N604">
        <v>11</v>
      </c>
      <c r="O604">
        <v>26576</v>
      </c>
      <c r="P604">
        <v>531.52</v>
      </c>
      <c r="Q604">
        <v>26044.48</v>
      </c>
      <c r="R604">
        <v>13.80918</v>
      </c>
      <c r="S604">
        <v>28992</v>
      </c>
      <c r="T604">
        <v>-2947.5200000000004</v>
      </c>
    </row>
    <row r="605" spans="1:20" x14ac:dyDescent="0.35">
      <c r="A605" t="s">
        <v>20</v>
      </c>
      <c r="B605" t="s">
        <v>65</v>
      </c>
      <c r="C605" t="s">
        <v>43</v>
      </c>
      <c r="D605" t="s">
        <v>254</v>
      </c>
      <c r="E605" t="s">
        <v>45</v>
      </c>
      <c r="F605" t="s">
        <v>255</v>
      </c>
      <c r="G605" t="s">
        <v>59</v>
      </c>
      <c r="H605" s="1">
        <v>44508</v>
      </c>
      <c r="I605" t="s">
        <v>60</v>
      </c>
      <c r="J605" t="s">
        <v>61</v>
      </c>
      <c r="K605">
        <v>2021</v>
      </c>
      <c r="L605">
        <v>971</v>
      </c>
      <c r="M605">
        <v>148</v>
      </c>
      <c r="N605">
        <v>188</v>
      </c>
      <c r="O605">
        <v>182548</v>
      </c>
      <c r="P605">
        <v>3650.96</v>
      </c>
      <c r="Q605">
        <v>178897.04</v>
      </c>
      <c r="R605">
        <v>99.102500000000006</v>
      </c>
      <c r="S605">
        <v>143708</v>
      </c>
      <c r="T605">
        <v>35189.040000000008</v>
      </c>
    </row>
    <row r="606" spans="1:20" x14ac:dyDescent="0.35">
      <c r="A606" t="s">
        <v>79</v>
      </c>
      <c r="B606" t="s">
        <v>38</v>
      </c>
      <c r="C606" t="s">
        <v>55</v>
      </c>
      <c r="D606" t="s">
        <v>208</v>
      </c>
      <c r="E606" t="s">
        <v>57</v>
      </c>
      <c r="F606" t="s">
        <v>209</v>
      </c>
      <c r="G606" t="s">
        <v>59</v>
      </c>
      <c r="H606" s="1">
        <v>44541</v>
      </c>
      <c r="I606" t="s">
        <v>64</v>
      </c>
      <c r="J606" t="s">
        <v>61</v>
      </c>
      <c r="K606">
        <v>2021</v>
      </c>
      <c r="L606">
        <v>1090</v>
      </c>
      <c r="M606">
        <v>4</v>
      </c>
      <c r="N606">
        <v>18</v>
      </c>
      <c r="O606">
        <v>19620</v>
      </c>
      <c r="P606">
        <v>588.6</v>
      </c>
      <c r="Q606">
        <v>19031.400000000001</v>
      </c>
      <c r="R606">
        <v>10.569120000000002</v>
      </c>
      <c r="S606">
        <v>4360</v>
      </c>
      <c r="T606">
        <v>14671.400000000001</v>
      </c>
    </row>
    <row r="607" spans="1:20" x14ac:dyDescent="0.35">
      <c r="A607" t="s">
        <v>37</v>
      </c>
      <c r="B607" t="s">
        <v>30</v>
      </c>
      <c r="C607" t="s">
        <v>55</v>
      </c>
      <c r="D607" t="s">
        <v>189</v>
      </c>
      <c r="E607" t="s">
        <v>57</v>
      </c>
      <c r="F607" t="s">
        <v>128</v>
      </c>
      <c r="G607" t="s">
        <v>59</v>
      </c>
      <c r="H607" s="1">
        <v>44550</v>
      </c>
      <c r="I607" t="s">
        <v>64</v>
      </c>
      <c r="J607" t="s">
        <v>61</v>
      </c>
      <c r="K607">
        <v>2021</v>
      </c>
      <c r="L607">
        <v>3421</v>
      </c>
      <c r="M607">
        <v>4</v>
      </c>
      <c r="N607">
        <v>11</v>
      </c>
      <c r="O607">
        <v>37631</v>
      </c>
      <c r="P607">
        <v>1505.24</v>
      </c>
      <c r="Q607">
        <v>36125.760000000002</v>
      </c>
      <c r="R607">
        <v>19.158720000000002</v>
      </c>
      <c r="S607">
        <v>13684</v>
      </c>
      <c r="T607">
        <v>22441.760000000002</v>
      </c>
    </row>
    <row r="608" spans="1:20" x14ac:dyDescent="0.35">
      <c r="A608" t="s">
        <v>29</v>
      </c>
      <c r="B608" t="s">
        <v>84</v>
      </c>
      <c r="C608" t="s">
        <v>102</v>
      </c>
      <c r="D608" t="s">
        <v>168</v>
      </c>
      <c r="E608" t="s">
        <v>104</v>
      </c>
      <c r="F608" t="s">
        <v>169</v>
      </c>
      <c r="G608" t="s">
        <v>59</v>
      </c>
      <c r="H608" s="1">
        <v>44488</v>
      </c>
      <c r="I608" t="s">
        <v>72</v>
      </c>
      <c r="J608" t="s">
        <v>61</v>
      </c>
      <c r="K608">
        <v>2021</v>
      </c>
      <c r="L608">
        <v>805</v>
      </c>
      <c r="M608">
        <v>320</v>
      </c>
      <c r="N608">
        <v>23</v>
      </c>
      <c r="O608">
        <v>18515</v>
      </c>
      <c r="P608">
        <v>740.6</v>
      </c>
      <c r="Q608">
        <v>17774.400000000001</v>
      </c>
      <c r="R608">
        <v>9.6623999999999999</v>
      </c>
      <c r="S608">
        <v>257600</v>
      </c>
      <c r="T608">
        <v>-239825.6</v>
      </c>
    </row>
    <row r="609" spans="1:20" x14ac:dyDescent="0.35">
      <c r="A609" t="s">
        <v>37</v>
      </c>
      <c r="B609" t="s">
        <v>84</v>
      </c>
      <c r="C609" t="s">
        <v>43</v>
      </c>
      <c r="D609" t="s">
        <v>131</v>
      </c>
      <c r="E609" t="s">
        <v>45</v>
      </c>
      <c r="F609" t="s">
        <v>132</v>
      </c>
      <c r="G609" t="s">
        <v>108</v>
      </c>
      <c r="H609" s="1">
        <v>44497</v>
      </c>
      <c r="I609" t="s">
        <v>72</v>
      </c>
      <c r="J609" t="s">
        <v>61</v>
      </c>
      <c r="K609">
        <v>2021</v>
      </c>
      <c r="L609">
        <v>1240</v>
      </c>
      <c r="M609">
        <v>148</v>
      </c>
      <c r="N609">
        <v>30</v>
      </c>
      <c r="O609">
        <v>37200</v>
      </c>
      <c r="P609">
        <v>1860</v>
      </c>
      <c r="Q609">
        <v>35340</v>
      </c>
      <c r="R609">
        <v>19.626999999999999</v>
      </c>
      <c r="S609">
        <v>183520</v>
      </c>
      <c r="T609">
        <v>-148180</v>
      </c>
    </row>
    <row r="610" spans="1:20" x14ac:dyDescent="0.35">
      <c r="A610" t="s">
        <v>37</v>
      </c>
      <c r="B610" t="s">
        <v>47</v>
      </c>
      <c r="C610" t="s">
        <v>31</v>
      </c>
      <c r="D610" t="s">
        <v>149</v>
      </c>
      <c r="E610" t="s">
        <v>33</v>
      </c>
      <c r="F610" t="s">
        <v>150</v>
      </c>
      <c r="G610" t="s">
        <v>108</v>
      </c>
      <c r="H610" s="1">
        <v>44514</v>
      </c>
      <c r="I610" t="s">
        <v>60</v>
      </c>
      <c r="J610" t="s">
        <v>61</v>
      </c>
      <c r="K610">
        <v>2021</v>
      </c>
      <c r="L610">
        <v>2891</v>
      </c>
      <c r="M610">
        <v>12</v>
      </c>
      <c r="N610">
        <v>11</v>
      </c>
      <c r="O610">
        <v>31801</v>
      </c>
      <c r="P610">
        <v>2544.08</v>
      </c>
      <c r="Q610">
        <v>29256.92</v>
      </c>
      <c r="R610">
        <v>15.513959999999999</v>
      </c>
      <c r="S610">
        <v>34692</v>
      </c>
      <c r="T610">
        <v>-5435.0800000000017</v>
      </c>
    </row>
    <row r="611" spans="1:20" x14ac:dyDescent="0.35">
      <c r="A611" t="s">
        <v>53</v>
      </c>
      <c r="B611" t="s">
        <v>65</v>
      </c>
      <c r="C611" t="s">
        <v>43</v>
      </c>
      <c r="D611" t="s">
        <v>129</v>
      </c>
      <c r="E611" t="s">
        <v>45</v>
      </c>
      <c r="F611" t="s">
        <v>130</v>
      </c>
      <c r="G611" t="s">
        <v>108</v>
      </c>
      <c r="H611" s="1">
        <v>44512</v>
      </c>
      <c r="I611" t="s">
        <v>60</v>
      </c>
      <c r="J611" t="s">
        <v>61</v>
      </c>
      <c r="K611">
        <v>2021</v>
      </c>
      <c r="L611">
        <v>463</v>
      </c>
      <c r="M611">
        <v>148</v>
      </c>
      <c r="N611">
        <v>450</v>
      </c>
      <c r="O611">
        <v>208350</v>
      </c>
      <c r="P611">
        <v>16668</v>
      </c>
      <c r="Q611">
        <v>191682</v>
      </c>
      <c r="R611">
        <v>106.536</v>
      </c>
      <c r="S611">
        <v>68524</v>
      </c>
      <c r="T611">
        <v>123158</v>
      </c>
    </row>
    <row r="612" spans="1:20" x14ac:dyDescent="0.35">
      <c r="A612" t="s">
        <v>79</v>
      </c>
      <c r="B612" t="s">
        <v>38</v>
      </c>
      <c r="C612" t="s">
        <v>102</v>
      </c>
      <c r="D612" t="s">
        <v>298</v>
      </c>
      <c r="E612" t="s">
        <v>104</v>
      </c>
      <c r="F612" t="s">
        <v>260</v>
      </c>
      <c r="G612" t="s">
        <v>108</v>
      </c>
      <c r="H612" s="1">
        <v>44476</v>
      </c>
      <c r="I612" t="s">
        <v>72</v>
      </c>
      <c r="J612" t="s">
        <v>61</v>
      </c>
      <c r="K612">
        <v>2021</v>
      </c>
      <c r="L612">
        <v>1650</v>
      </c>
      <c r="M612">
        <v>320</v>
      </c>
      <c r="N612">
        <v>18</v>
      </c>
      <c r="O612">
        <v>29700</v>
      </c>
      <c r="P612">
        <v>2376</v>
      </c>
      <c r="Q612">
        <v>27324</v>
      </c>
      <c r="R612">
        <v>15.18</v>
      </c>
      <c r="S612">
        <v>528000</v>
      </c>
      <c r="T612">
        <v>-500676</v>
      </c>
    </row>
    <row r="613" spans="1:20" x14ac:dyDescent="0.35">
      <c r="A613" t="s">
        <v>37</v>
      </c>
      <c r="B613" t="s">
        <v>54</v>
      </c>
      <c r="C613" t="s">
        <v>22</v>
      </c>
      <c r="D613" t="s">
        <v>96</v>
      </c>
      <c r="E613" t="s">
        <v>24</v>
      </c>
      <c r="F613" t="s">
        <v>97</v>
      </c>
      <c r="G613" t="s">
        <v>108</v>
      </c>
      <c r="H613" s="1">
        <v>44530</v>
      </c>
      <c r="I613" t="s">
        <v>60</v>
      </c>
      <c r="J613" t="s">
        <v>61</v>
      </c>
      <c r="K613">
        <v>2021</v>
      </c>
      <c r="L613">
        <v>1933</v>
      </c>
      <c r="M613">
        <v>6</v>
      </c>
      <c r="N613">
        <v>11</v>
      </c>
      <c r="O613">
        <v>21263</v>
      </c>
      <c r="P613">
        <v>1913.6699999999998</v>
      </c>
      <c r="Q613">
        <v>19349.330000000002</v>
      </c>
      <c r="R613">
        <v>10.26207</v>
      </c>
      <c r="S613">
        <v>11598</v>
      </c>
      <c r="T613">
        <v>7751.3300000000017</v>
      </c>
    </row>
    <row r="614" spans="1:20" x14ac:dyDescent="0.35">
      <c r="A614" t="s">
        <v>37</v>
      </c>
      <c r="B614" t="s">
        <v>65</v>
      </c>
      <c r="C614" t="s">
        <v>22</v>
      </c>
      <c r="D614" t="s">
        <v>92</v>
      </c>
      <c r="E614" t="s">
        <v>24</v>
      </c>
      <c r="F614" t="s">
        <v>93</v>
      </c>
      <c r="G614" t="s">
        <v>157</v>
      </c>
      <c r="H614" s="1">
        <v>44560</v>
      </c>
      <c r="I614" t="s">
        <v>64</v>
      </c>
      <c r="J614" t="s">
        <v>61</v>
      </c>
      <c r="K614">
        <v>2021</v>
      </c>
      <c r="L614">
        <v>3590</v>
      </c>
      <c r="M614">
        <v>6</v>
      </c>
      <c r="N614">
        <v>30</v>
      </c>
      <c r="O614">
        <v>107700</v>
      </c>
      <c r="P614">
        <v>11847</v>
      </c>
      <c r="Q614">
        <v>95853</v>
      </c>
      <c r="R614">
        <v>53.257599999999996</v>
      </c>
      <c r="S614">
        <v>21540</v>
      </c>
      <c r="T614">
        <v>74313</v>
      </c>
    </row>
    <row r="615" spans="1:20" x14ac:dyDescent="0.35">
      <c r="A615" t="s">
        <v>37</v>
      </c>
      <c r="B615" t="s">
        <v>65</v>
      </c>
      <c r="C615" t="s">
        <v>102</v>
      </c>
      <c r="D615" t="s">
        <v>236</v>
      </c>
      <c r="E615" t="s">
        <v>104</v>
      </c>
      <c r="F615" t="s">
        <v>126</v>
      </c>
      <c r="G615" t="s">
        <v>157</v>
      </c>
      <c r="H615" s="1">
        <v>44472</v>
      </c>
      <c r="I615" t="s">
        <v>72</v>
      </c>
      <c r="J615" t="s">
        <v>61</v>
      </c>
      <c r="K615">
        <v>2021</v>
      </c>
      <c r="L615">
        <v>413</v>
      </c>
      <c r="M615">
        <v>320</v>
      </c>
      <c r="N615">
        <v>525</v>
      </c>
      <c r="O615">
        <v>216825</v>
      </c>
      <c r="P615">
        <v>23850.75</v>
      </c>
      <c r="Q615">
        <v>192974.25</v>
      </c>
      <c r="R615">
        <v>107.15600000000001</v>
      </c>
      <c r="S615">
        <v>132160</v>
      </c>
      <c r="T615">
        <v>60814.25</v>
      </c>
    </row>
    <row r="616" spans="1:20" x14ac:dyDescent="0.35">
      <c r="A616" t="s">
        <v>37</v>
      </c>
      <c r="B616" t="s">
        <v>21</v>
      </c>
      <c r="C616" t="s">
        <v>22</v>
      </c>
      <c r="D616" t="s">
        <v>110</v>
      </c>
      <c r="E616" t="s">
        <v>24</v>
      </c>
      <c r="F616" t="s">
        <v>111</v>
      </c>
      <c r="G616" t="s">
        <v>157</v>
      </c>
      <c r="H616" s="1">
        <v>44542</v>
      </c>
      <c r="I616" t="s">
        <v>64</v>
      </c>
      <c r="J616" t="s">
        <v>61</v>
      </c>
      <c r="K616">
        <v>2021</v>
      </c>
      <c r="L616">
        <v>2058</v>
      </c>
      <c r="M616">
        <v>6</v>
      </c>
      <c r="N616">
        <v>30</v>
      </c>
      <c r="O616">
        <v>61740</v>
      </c>
      <c r="P616">
        <v>7408.7999999999993</v>
      </c>
      <c r="Q616">
        <v>54331.199999999997</v>
      </c>
      <c r="R616">
        <v>30.184000000000001</v>
      </c>
      <c r="S616">
        <v>12348</v>
      </c>
      <c r="T616">
        <v>41983.199999999997</v>
      </c>
    </row>
    <row r="617" spans="1:20" x14ac:dyDescent="0.35">
      <c r="A617" t="s">
        <v>37</v>
      </c>
      <c r="B617" t="s">
        <v>47</v>
      </c>
      <c r="C617" t="s">
        <v>31</v>
      </c>
      <c r="D617" t="s">
        <v>94</v>
      </c>
      <c r="E617" t="s">
        <v>33</v>
      </c>
      <c r="F617" t="s">
        <v>95</v>
      </c>
      <c r="G617" t="s">
        <v>157</v>
      </c>
      <c r="H617" s="1">
        <v>44488</v>
      </c>
      <c r="I617" t="s">
        <v>72</v>
      </c>
      <c r="J617" t="s">
        <v>61</v>
      </c>
      <c r="K617">
        <v>2021</v>
      </c>
      <c r="L617">
        <v>2058</v>
      </c>
      <c r="M617">
        <v>12</v>
      </c>
      <c r="N617">
        <v>30</v>
      </c>
      <c r="O617">
        <v>61740</v>
      </c>
      <c r="P617">
        <v>7408.7999999999993</v>
      </c>
      <c r="Q617">
        <v>54331.199999999997</v>
      </c>
      <c r="R617">
        <v>30.184000000000001</v>
      </c>
      <c r="S617">
        <v>24696</v>
      </c>
      <c r="T617">
        <v>29635.199999999997</v>
      </c>
    </row>
    <row r="618" spans="1:20" x14ac:dyDescent="0.35">
      <c r="A618" t="s">
        <v>53</v>
      </c>
      <c r="B618" t="s">
        <v>42</v>
      </c>
      <c r="C618" t="s">
        <v>48</v>
      </c>
      <c r="D618" t="s">
        <v>135</v>
      </c>
      <c r="E618" t="s">
        <v>50</v>
      </c>
      <c r="F618" t="s">
        <v>136</v>
      </c>
      <c r="G618" t="s">
        <v>157</v>
      </c>
      <c r="H618" s="1">
        <v>44488</v>
      </c>
      <c r="I618" t="s">
        <v>72</v>
      </c>
      <c r="J618" t="s">
        <v>61</v>
      </c>
      <c r="K618">
        <v>2021</v>
      </c>
      <c r="L618">
        <v>323</v>
      </c>
      <c r="M618">
        <v>308</v>
      </c>
      <c r="N618">
        <v>450</v>
      </c>
      <c r="O618">
        <v>145350</v>
      </c>
      <c r="P618">
        <v>20349.000000000004</v>
      </c>
      <c r="Q618">
        <v>125001</v>
      </c>
      <c r="R618">
        <v>69.402000000000001</v>
      </c>
      <c r="S618">
        <v>99484</v>
      </c>
      <c r="T618">
        <v>25517</v>
      </c>
    </row>
    <row r="619" spans="1:20" x14ac:dyDescent="0.35">
      <c r="A619" t="s">
        <v>37</v>
      </c>
      <c r="B619" t="s">
        <v>65</v>
      </c>
      <c r="C619" t="s">
        <v>102</v>
      </c>
      <c r="D619" t="s">
        <v>236</v>
      </c>
      <c r="E619" t="s">
        <v>104</v>
      </c>
      <c r="F619" t="s">
        <v>126</v>
      </c>
      <c r="G619" t="s">
        <v>157</v>
      </c>
      <c r="H619" s="1">
        <v>44530</v>
      </c>
      <c r="I619" t="s">
        <v>60</v>
      </c>
      <c r="J619" t="s">
        <v>61</v>
      </c>
      <c r="K619">
        <v>2021</v>
      </c>
      <c r="L619">
        <v>2072</v>
      </c>
      <c r="M619">
        <v>320</v>
      </c>
      <c r="N619">
        <v>11</v>
      </c>
      <c r="O619">
        <v>22792</v>
      </c>
      <c r="P619">
        <v>3190.88</v>
      </c>
      <c r="Q619">
        <v>19601.12</v>
      </c>
      <c r="R619">
        <v>10.396540000000002</v>
      </c>
      <c r="S619">
        <v>663040</v>
      </c>
      <c r="T619">
        <v>-643438.88</v>
      </c>
    </row>
    <row r="620" spans="1:20" x14ac:dyDescent="0.35">
      <c r="A620" t="s">
        <v>29</v>
      </c>
      <c r="B620" t="s">
        <v>30</v>
      </c>
      <c r="C620" t="s">
        <v>55</v>
      </c>
      <c r="D620" t="s">
        <v>301</v>
      </c>
      <c r="E620" t="s">
        <v>57</v>
      </c>
      <c r="F620" t="s">
        <v>230</v>
      </c>
      <c r="G620" t="s">
        <v>26</v>
      </c>
      <c r="H620" s="1">
        <v>44508</v>
      </c>
      <c r="I620" t="s">
        <v>60</v>
      </c>
      <c r="J620" t="s">
        <v>61</v>
      </c>
      <c r="K620">
        <v>2021</v>
      </c>
      <c r="L620">
        <v>2614</v>
      </c>
      <c r="M620">
        <v>4</v>
      </c>
      <c r="N620">
        <v>23</v>
      </c>
      <c r="O620">
        <v>60122</v>
      </c>
      <c r="P620">
        <v>0</v>
      </c>
      <c r="Q620">
        <v>60122</v>
      </c>
      <c r="R620">
        <v>32.67</v>
      </c>
      <c r="S620">
        <v>10456</v>
      </c>
      <c r="T620">
        <v>49666</v>
      </c>
    </row>
    <row r="621" spans="1:20" x14ac:dyDescent="0.35">
      <c r="A621" t="s">
        <v>29</v>
      </c>
      <c r="B621" t="s">
        <v>65</v>
      </c>
      <c r="C621" t="s">
        <v>22</v>
      </c>
      <c r="D621" t="s">
        <v>302</v>
      </c>
      <c r="E621" t="s">
        <v>24</v>
      </c>
      <c r="F621" t="s">
        <v>176</v>
      </c>
      <c r="G621" t="s">
        <v>26</v>
      </c>
      <c r="H621" s="1">
        <v>44492</v>
      </c>
      <c r="I621" t="s">
        <v>72</v>
      </c>
      <c r="J621" t="s">
        <v>61</v>
      </c>
      <c r="K621">
        <v>2021</v>
      </c>
      <c r="L621">
        <v>1105</v>
      </c>
      <c r="M621">
        <v>6</v>
      </c>
      <c r="N621">
        <v>23</v>
      </c>
      <c r="O621">
        <v>25415</v>
      </c>
      <c r="P621">
        <v>0</v>
      </c>
      <c r="Q621">
        <v>25415</v>
      </c>
      <c r="R621">
        <v>13.815</v>
      </c>
      <c r="S621">
        <v>6630</v>
      </c>
      <c r="T621">
        <v>18785</v>
      </c>
    </row>
    <row r="622" spans="1:20" x14ac:dyDescent="0.35">
      <c r="A622" t="s">
        <v>79</v>
      </c>
      <c r="B622" t="s">
        <v>38</v>
      </c>
      <c r="C622" t="s">
        <v>31</v>
      </c>
      <c r="D622" t="s">
        <v>127</v>
      </c>
      <c r="E622" t="s">
        <v>33</v>
      </c>
      <c r="F622" t="s">
        <v>128</v>
      </c>
      <c r="G622" t="s">
        <v>26</v>
      </c>
      <c r="H622" s="1">
        <v>44504</v>
      </c>
      <c r="I622" t="s">
        <v>60</v>
      </c>
      <c r="J622" t="s">
        <v>61</v>
      </c>
      <c r="K622">
        <v>2021</v>
      </c>
      <c r="L622">
        <v>3022</v>
      </c>
      <c r="M622">
        <v>12</v>
      </c>
      <c r="N622">
        <v>18</v>
      </c>
      <c r="O622">
        <v>54396</v>
      </c>
      <c r="P622">
        <v>0</v>
      </c>
      <c r="Q622">
        <v>54396</v>
      </c>
      <c r="R622">
        <v>30.216000000000001</v>
      </c>
      <c r="S622">
        <v>36264</v>
      </c>
      <c r="T622">
        <v>18132</v>
      </c>
    </row>
    <row r="623" spans="1:20" x14ac:dyDescent="0.35">
      <c r="A623" t="s">
        <v>37</v>
      </c>
      <c r="B623" t="s">
        <v>54</v>
      </c>
      <c r="C623" t="s">
        <v>31</v>
      </c>
      <c r="D623" t="s">
        <v>183</v>
      </c>
      <c r="E623" t="s">
        <v>33</v>
      </c>
      <c r="F623" t="s">
        <v>184</v>
      </c>
      <c r="G623" t="s">
        <v>26</v>
      </c>
      <c r="H623" s="1">
        <v>44510</v>
      </c>
      <c r="I623" t="s">
        <v>60</v>
      </c>
      <c r="J623" t="s">
        <v>61</v>
      </c>
      <c r="K623">
        <v>2021</v>
      </c>
      <c r="L623">
        <v>1372</v>
      </c>
      <c r="M623">
        <v>12</v>
      </c>
      <c r="N623">
        <v>11</v>
      </c>
      <c r="O623">
        <v>15092</v>
      </c>
      <c r="P623">
        <v>0</v>
      </c>
      <c r="Q623">
        <v>15092</v>
      </c>
      <c r="R623">
        <v>8.0009999999999994</v>
      </c>
      <c r="S623">
        <v>16464</v>
      </c>
      <c r="T623">
        <v>-1372</v>
      </c>
    </row>
    <row r="624" spans="1:20" x14ac:dyDescent="0.35">
      <c r="A624" t="s">
        <v>37</v>
      </c>
      <c r="B624" t="s">
        <v>38</v>
      </c>
      <c r="C624" t="s">
        <v>43</v>
      </c>
      <c r="D624" t="s">
        <v>262</v>
      </c>
      <c r="E624" t="s">
        <v>45</v>
      </c>
      <c r="F624" t="s">
        <v>263</v>
      </c>
      <c r="G624" t="s">
        <v>26</v>
      </c>
      <c r="H624" s="1">
        <v>44473</v>
      </c>
      <c r="I624" t="s">
        <v>72</v>
      </c>
      <c r="J624" t="s">
        <v>61</v>
      </c>
      <c r="K624">
        <v>2021</v>
      </c>
      <c r="L624">
        <v>1207</v>
      </c>
      <c r="M624">
        <v>148</v>
      </c>
      <c r="N624">
        <v>525</v>
      </c>
      <c r="O624">
        <v>633675</v>
      </c>
      <c r="P624">
        <v>0</v>
      </c>
      <c r="Q624">
        <v>633675</v>
      </c>
      <c r="R624">
        <v>352.1</v>
      </c>
      <c r="S624">
        <v>178636</v>
      </c>
      <c r="T624">
        <v>455039</v>
      </c>
    </row>
    <row r="625" spans="1:20" x14ac:dyDescent="0.35">
      <c r="A625" t="s">
        <v>37</v>
      </c>
      <c r="B625" t="s">
        <v>42</v>
      </c>
      <c r="C625" t="s">
        <v>48</v>
      </c>
      <c r="D625" t="s">
        <v>121</v>
      </c>
      <c r="E625" t="s">
        <v>50</v>
      </c>
      <c r="F625" t="s">
        <v>122</v>
      </c>
      <c r="G625" t="s">
        <v>26</v>
      </c>
      <c r="H625" s="1">
        <v>44545</v>
      </c>
      <c r="I625" t="s">
        <v>64</v>
      </c>
      <c r="J625" t="s">
        <v>61</v>
      </c>
      <c r="K625">
        <v>2021</v>
      </c>
      <c r="L625">
        <v>2180</v>
      </c>
      <c r="M625">
        <v>308</v>
      </c>
      <c r="N625">
        <v>30</v>
      </c>
      <c r="O625">
        <v>65400</v>
      </c>
      <c r="P625">
        <v>0</v>
      </c>
      <c r="Q625">
        <v>65400</v>
      </c>
      <c r="R625">
        <v>36.340000000000003</v>
      </c>
      <c r="S625">
        <v>671440</v>
      </c>
      <c r="T625">
        <v>-606040</v>
      </c>
    </row>
    <row r="626" spans="1:20" x14ac:dyDescent="0.35">
      <c r="A626" t="s">
        <v>79</v>
      </c>
      <c r="B626" t="s">
        <v>47</v>
      </c>
      <c r="C626" t="s">
        <v>55</v>
      </c>
      <c r="D626" t="s">
        <v>294</v>
      </c>
      <c r="E626" t="s">
        <v>57</v>
      </c>
      <c r="F626" t="s">
        <v>195</v>
      </c>
      <c r="G626" t="s">
        <v>59</v>
      </c>
      <c r="H626" s="1">
        <v>44540</v>
      </c>
      <c r="I626" t="s">
        <v>64</v>
      </c>
      <c r="J626" t="s">
        <v>61</v>
      </c>
      <c r="K626">
        <v>2021</v>
      </c>
      <c r="L626">
        <v>3205</v>
      </c>
      <c r="M626">
        <v>4</v>
      </c>
      <c r="N626">
        <v>18</v>
      </c>
      <c r="O626">
        <v>57690</v>
      </c>
      <c r="P626">
        <v>576.9</v>
      </c>
      <c r="Q626">
        <v>57113.1</v>
      </c>
      <c r="R626">
        <v>31.731480000000001</v>
      </c>
      <c r="S626">
        <v>12820</v>
      </c>
      <c r="T626">
        <v>44293.1</v>
      </c>
    </row>
    <row r="627" spans="1:20" x14ac:dyDescent="0.35">
      <c r="A627" t="s">
        <v>37</v>
      </c>
      <c r="B627" t="s">
        <v>54</v>
      </c>
      <c r="C627" t="s">
        <v>22</v>
      </c>
      <c r="D627" t="s">
        <v>226</v>
      </c>
      <c r="E627" t="s">
        <v>24</v>
      </c>
      <c r="F627" t="s">
        <v>227</v>
      </c>
      <c r="G627" t="s">
        <v>59</v>
      </c>
      <c r="H627" s="1">
        <v>44521</v>
      </c>
      <c r="I627" t="s">
        <v>60</v>
      </c>
      <c r="J627" t="s">
        <v>61</v>
      </c>
      <c r="K627">
        <v>2021</v>
      </c>
      <c r="L627">
        <v>1651</v>
      </c>
      <c r="M627">
        <v>6</v>
      </c>
      <c r="N627">
        <v>30</v>
      </c>
      <c r="O627">
        <v>49530</v>
      </c>
      <c r="P627">
        <v>495.3</v>
      </c>
      <c r="Q627">
        <v>49034.7</v>
      </c>
      <c r="R627">
        <v>27.234899999999996</v>
      </c>
      <c r="S627">
        <v>9906</v>
      </c>
      <c r="T627">
        <v>39128.699999999997</v>
      </c>
    </row>
    <row r="628" spans="1:20" x14ac:dyDescent="0.35">
      <c r="A628" t="s">
        <v>20</v>
      </c>
      <c r="B628" t="s">
        <v>47</v>
      </c>
      <c r="C628" t="s">
        <v>31</v>
      </c>
      <c r="D628" t="s">
        <v>75</v>
      </c>
      <c r="E628" t="s">
        <v>33</v>
      </c>
      <c r="F628" t="s">
        <v>76</v>
      </c>
      <c r="G628" t="s">
        <v>59</v>
      </c>
      <c r="H628" s="1">
        <v>44530</v>
      </c>
      <c r="I628" t="s">
        <v>60</v>
      </c>
      <c r="J628" t="s">
        <v>61</v>
      </c>
      <c r="K628">
        <v>2021</v>
      </c>
      <c r="L628">
        <v>2188</v>
      </c>
      <c r="M628">
        <v>12</v>
      </c>
      <c r="N628">
        <v>188</v>
      </c>
      <c r="O628">
        <v>411344</v>
      </c>
      <c r="P628">
        <v>4113.4400000000005</v>
      </c>
      <c r="Q628">
        <v>407230.56</v>
      </c>
      <c r="R628">
        <v>225.59625</v>
      </c>
      <c r="S628">
        <v>26256</v>
      </c>
      <c r="T628">
        <v>380974.56</v>
      </c>
    </row>
    <row r="629" spans="1:20" x14ac:dyDescent="0.35">
      <c r="A629" t="s">
        <v>37</v>
      </c>
      <c r="B629" t="s">
        <v>42</v>
      </c>
      <c r="C629" t="s">
        <v>43</v>
      </c>
      <c r="D629" t="s">
        <v>87</v>
      </c>
      <c r="E629" t="s">
        <v>45</v>
      </c>
      <c r="F629" t="s">
        <v>88</v>
      </c>
      <c r="G629" t="s">
        <v>59</v>
      </c>
      <c r="H629" s="1">
        <v>44501</v>
      </c>
      <c r="I629" t="s">
        <v>60</v>
      </c>
      <c r="J629" t="s">
        <v>61</v>
      </c>
      <c r="K629">
        <v>2021</v>
      </c>
      <c r="L629">
        <v>434</v>
      </c>
      <c r="M629">
        <v>148</v>
      </c>
      <c r="N629">
        <v>11</v>
      </c>
      <c r="O629">
        <v>4774</v>
      </c>
      <c r="P629">
        <v>47.74</v>
      </c>
      <c r="Q629">
        <v>4726.26</v>
      </c>
      <c r="R629">
        <v>2.5086599999999999</v>
      </c>
      <c r="S629">
        <v>64232</v>
      </c>
      <c r="T629">
        <v>-59505.74</v>
      </c>
    </row>
    <row r="630" spans="1:20" x14ac:dyDescent="0.35">
      <c r="A630" t="s">
        <v>37</v>
      </c>
      <c r="B630" t="s">
        <v>47</v>
      </c>
      <c r="C630" t="s">
        <v>48</v>
      </c>
      <c r="D630" t="s">
        <v>123</v>
      </c>
      <c r="E630" t="s">
        <v>50</v>
      </c>
      <c r="F630" t="s">
        <v>124</v>
      </c>
      <c r="G630" t="s">
        <v>59</v>
      </c>
      <c r="H630" s="1">
        <v>44552</v>
      </c>
      <c r="I630" t="s">
        <v>64</v>
      </c>
      <c r="J630" t="s">
        <v>61</v>
      </c>
      <c r="K630">
        <v>2021</v>
      </c>
      <c r="L630">
        <v>316</v>
      </c>
      <c r="M630">
        <v>308</v>
      </c>
      <c r="N630">
        <v>11</v>
      </c>
      <c r="O630">
        <v>3476</v>
      </c>
      <c r="P630">
        <v>34.76</v>
      </c>
      <c r="Q630">
        <v>3441.24</v>
      </c>
      <c r="R630">
        <v>1.8225899999999999</v>
      </c>
      <c r="S630">
        <v>97328</v>
      </c>
      <c r="T630">
        <v>-93886.76</v>
      </c>
    </row>
    <row r="631" spans="1:20" x14ac:dyDescent="0.35">
      <c r="A631" t="s">
        <v>53</v>
      </c>
      <c r="B631" t="s">
        <v>47</v>
      </c>
      <c r="C631" t="s">
        <v>48</v>
      </c>
      <c r="D631" t="s">
        <v>90</v>
      </c>
      <c r="E631" t="s">
        <v>50</v>
      </c>
      <c r="F631" t="s">
        <v>91</v>
      </c>
      <c r="G631" t="s">
        <v>59</v>
      </c>
      <c r="H631" s="1">
        <v>44478</v>
      </c>
      <c r="I631" t="s">
        <v>72</v>
      </c>
      <c r="J631" t="s">
        <v>61</v>
      </c>
      <c r="K631">
        <v>2021</v>
      </c>
      <c r="L631">
        <v>1183</v>
      </c>
      <c r="M631">
        <v>308</v>
      </c>
      <c r="N631">
        <v>450</v>
      </c>
      <c r="O631">
        <v>532350</v>
      </c>
      <c r="P631">
        <v>5323.5</v>
      </c>
      <c r="Q631">
        <v>527026.5</v>
      </c>
      <c r="R631">
        <v>292.84199999999998</v>
      </c>
      <c r="S631">
        <v>364364</v>
      </c>
      <c r="T631">
        <v>162662.5</v>
      </c>
    </row>
    <row r="632" spans="1:20" x14ac:dyDescent="0.35">
      <c r="A632" t="s">
        <v>37</v>
      </c>
      <c r="B632" t="s">
        <v>30</v>
      </c>
      <c r="C632" t="s">
        <v>48</v>
      </c>
      <c r="D632" t="s">
        <v>231</v>
      </c>
      <c r="E632" t="s">
        <v>50</v>
      </c>
      <c r="F632" t="s">
        <v>232</v>
      </c>
      <c r="G632" t="s">
        <v>59</v>
      </c>
      <c r="H632" s="1">
        <v>44478</v>
      </c>
      <c r="I632" t="s">
        <v>72</v>
      </c>
      <c r="J632" t="s">
        <v>61</v>
      </c>
      <c r="K632">
        <v>2021</v>
      </c>
      <c r="L632">
        <v>1676</v>
      </c>
      <c r="M632">
        <v>308</v>
      </c>
      <c r="N632">
        <v>525</v>
      </c>
      <c r="O632">
        <v>879900</v>
      </c>
      <c r="P632">
        <v>8799</v>
      </c>
      <c r="Q632">
        <v>871101</v>
      </c>
      <c r="R632">
        <v>484.06049999999999</v>
      </c>
      <c r="S632">
        <v>516208</v>
      </c>
      <c r="T632">
        <v>354893</v>
      </c>
    </row>
    <row r="633" spans="1:20" x14ac:dyDescent="0.35">
      <c r="A633" t="s">
        <v>79</v>
      </c>
      <c r="B633" t="s">
        <v>42</v>
      </c>
      <c r="C633" t="s">
        <v>22</v>
      </c>
      <c r="D633" t="s">
        <v>308</v>
      </c>
      <c r="E633" t="s">
        <v>24</v>
      </c>
      <c r="F633" t="s">
        <v>171</v>
      </c>
      <c r="G633" t="s">
        <v>59</v>
      </c>
      <c r="H633" s="1">
        <v>44510</v>
      </c>
      <c r="I633" t="s">
        <v>60</v>
      </c>
      <c r="J633" t="s">
        <v>61</v>
      </c>
      <c r="K633">
        <v>2021</v>
      </c>
      <c r="L633">
        <v>1370</v>
      </c>
      <c r="M633">
        <v>6</v>
      </c>
      <c r="N633">
        <v>18</v>
      </c>
      <c r="O633">
        <v>24660</v>
      </c>
      <c r="P633">
        <v>493.2</v>
      </c>
      <c r="Q633">
        <v>24166.799999999999</v>
      </c>
      <c r="R633">
        <v>13.429919999999999</v>
      </c>
      <c r="S633">
        <v>8220</v>
      </c>
      <c r="T633">
        <v>15946.8</v>
      </c>
    </row>
    <row r="634" spans="1:20" x14ac:dyDescent="0.35">
      <c r="A634" t="s">
        <v>29</v>
      </c>
      <c r="B634" t="s">
        <v>84</v>
      </c>
      <c r="C634" t="s">
        <v>31</v>
      </c>
      <c r="D634" t="s">
        <v>177</v>
      </c>
      <c r="E634" t="s">
        <v>33</v>
      </c>
      <c r="F634" t="s">
        <v>178</v>
      </c>
      <c r="G634" t="s">
        <v>59</v>
      </c>
      <c r="H634" s="1">
        <v>44493</v>
      </c>
      <c r="I634" t="s">
        <v>72</v>
      </c>
      <c r="J634" t="s">
        <v>61</v>
      </c>
      <c r="K634">
        <v>2021</v>
      </c>
      <c r="L634">
        <v>2836</v>
      </c>
      <c r="M634">
        <v>12</v>
      </c>
      <c r="N634">
        <v>23</v>
      </c>
      <c r="O634">
        <v>65228</v>
      </c>
      <c r="P634">
        <v>1304.56</v>
      </c>
      <c r="Q634">
        <v>63923.44</v>
      </c>
      <c r="R634">
        <v>34.7361</v>
      </c>
      <c r="S634">
        <v>34032</v>
      </c>
      <c r="T634">
        <v>29891.440000000002</v>
      </c>
    </row>
    <row r="635" spans="1:20" x14ac:dyDescent="0.35">
      <c r="A635" t="s">
        <v>20</v>
      </c>
      <c r="B635" t="s">
        <v>65</v>
      </c>
      <c r="C635" t="s">
        <v>48</v>
      </c>
      <c r="D635" t="s">
        <v>275</v>
      </c>
      <c r="E635" t="s">
        <v>50</v>
      </c>
      <c r="F635" t="s">
        <v>120</v>
      </c>
      <c r="G635" t="s">
        <v>59</v>
      </c>
      <c r="H635" s="1">
        <v>44536</v>
      </c>
      <c r="I635" t="s">
        <v>64</v>
      </c>
      <c r="J635" t="s">
        <v>61</v>
      </c>
      <c r="K635">
        <v>2021</v>
      </c>
      <c r="L635">
        <v>794</v>
      </c>
      <c r="M635">
        <v>308</v>
      </c>
      <c r="N635">
        <v>188</v>
      </c>
      <c r="O635">
        <v>149272</v>
      </c>
      <c r="P635">
        <v>2985.44</v>
      </c>
      <c r="Q635">
        <v>146286.56</v>
      </c>
      <c r="R635">
        <v>81.094999999999999</v>
      </c>
      <c r="S635">
        <v>244552</v>
      </c>
      <c r="T635">
        <v>-98265.44</v>
      </c>
    </row>
    <row r="636" spans="1:20" x14ac:dyDescent="0.35">
      <c r="A636" t="s">
        <v>37</v>
      </c>
      <c r="B636" t="s">
        <v>47</v>
      </c>
      <c r="C636" t="s">
        <v>48</v>
      </c>
      <c r="D636" t="s">
        <v>123</v>
      </c>
      <c r="E636" t="s">
        <v>50</v>
      </c>
      <c r="F636" t="s">
        <v>124</v>
      </c>
      <c r="G636" t="s">
        <v>59</v>
      </c>
      <c r="H636" s="1">
        <v>44516</v>
      </c>
      <c r="I636" t="s">
        <v>60</v>
      </c>
      <c r="J636" t="s">
        <v>61</v>
      </c>
      <c r="K636">
        <v>2021</v>
      </c>
      <c r="L636">
        <v>3452</v>
      </c>
      <c r="M636">
        <v>308</v>
      </c>
      <c r="N636">
        <v>525</v>
      </c>
      <c r="O636">
        <v>1812300</v>
      </c>
      <c r="P636">
        <v>36246</v>
      </c>
      <c r="Q636">
        <v>1776054</v>
      </c>
      <c r="R636">
        <v>986.81100000000004</v>
      </c>
      <c r="S636">
        <v>1063216</v>
      </c>
      <c r="T636">
        <v>712838</v>
      </c>
    </row>
    <row r="637" spans="1:20" x14ac:dyDescent="0.35">
      <c r="A637" t="s">
        <v>20</v>
      </c>
      <c r="B637" t="s">
        <v>21</v>
      </c>
      <c r="C637" t="s">
        <v>48</v>
      </c>
      <c r="D637" t="s">
        <v>187</v>
      </c>
      <c r="E637" t="s">
        <v>50</v>
      </c>
      <c r="F637" t="s">
        <v>188</v>
      </c>
      <c r="G637" t="s">
        <v>59</v>
      </c>
      <c r="H637" s="1">
        <v>44543</v>
      </c>
      <c r="I637" t="s">
        <v>64</v>
      </c>
      <c r="J637" t="s">
        <v>61</v>
      </c>
      <c r="K637">
        <v>2021</v>
      </c>
      <c r="L637">
        <v>3275</v>
      </c>
      <c r="M637">
        <v>308</v>
      </c>
      <c r="N637">
        <v>188</v>
      </c>
      <c r="O637">
        <v>615700</v>
      </c>
      <c r="P637">
        <v>12314</v>
      </c>
      <c r="Q637">
        <v>603386</v>
      </c>
      <c r="R637">
        <v>334.30250000000001</v>
      </c>
      <c r="S637">
        <v>1008700</v>
      </c>
      <c r="T637">
        <v>-405314</v>
      </c>
    </row>
    <row r="638" spans="1:20" x14ac:dyDescent="0.35">
      <c r="A638" t="s">
        <v>37</v>
      </c>
      <c r="B638" t="s">
        <v>21</v>
      </c>
      <c r="C638" t="s">
        <v>102</v>
      </c>
      <c r="D638" t="s">
        <v>137</v>
      </c>
      <c r="E638" t="s">
        <v>104</v>
      </c>
      <c r="F638" t="s">
        <v>138</v>
      </c>
      <c r="G638" t="s">
        <v>59</v>
      </c>
      <c r="H638" s="1">
        <v>44519</v>
      </c>
      <c r="I638" t="s">
        <v>60</v>
      </c>
      <c r="J638" t="s">
        <v>61</v>
      </c>
      <c r="K638">
        <v>2021</v>
      </c>
      <c r="L638">
        <v>1129</v>
      </c>
      <c r="M638">
        <v>320</v>
      </c>
      <c r="N638">
        <v>30</v>
      </c>
      <c r="O638">
        <v>33870</v>
      </c>
      <c r="P638">
        <v>677.4</v>
      </c>
      <c r="Q638">
        <v>33192.6</v>
      </c>
      <c r="R638">
        <v>18.4436</v>
      </c>
      <c r="S638">
        <v>361280</v>
      </c>
      <c r="T638">
        <v>-328087.40000000002</v>
      </c>
    </row>
    <row r="639" spans="1:20" x14ac:dyDescent="0.35">
      <c r="A639" t="s">
        <v>53</v>
      </c>
      <c r="B639" t="s">
        <v>38</v>
      </c>
      <c r="C639" t="s">
        <v>55</v>
      </c>
      <c r="D639" t="s">
        <v>68</v>
      </c>
      <c r="E639" t="s">
        <v>57</v>
      </c>
      <c r="F639" t="s">
        <v>69</v>
      </c>
      <c r="G639" t="s">
        <v>59</v>
      </c>
      <c r="H639" s="1">
        <v>44492</v>
      </c>
      <c r="I639" t="s">
        <v>72</v>
      </c>
      <c r="J639" t="s">
        <v>61</v>
      </c>
      <c r="K639">
        <v>2021</v>
      </c>
      <c r="L639">
        <v>827</v>
      </c>
      <c r="M639">
        <v>4</v>
      </c>
      <c r="N639">
        <v>450</v>
      </c>
      <c r="O639">
        <v>372150</v>
      </c>
      <c r="P639">
        <v>11164.5</v>
      </c>
      <c r="Q639">
        <v>360985.5</v>
      </c>
      <c r="R639">
        <v>200.499</v>
      </c>
      <c r="S639">
        <v>3308</v>
      </c>
      <c r="T639">
        <v>357677.5</v>
      </c>
    </row>
    <row r="640" spans="1:20" x14ac:dyDescent="0.35">
      <c r="A640" t="s">
        <v>20</v>
      </c>
      <c r="B640" t="s">
        <v>30</v>
      </c>
      <c r="C640" t="s">
        <v>31</v>
      </c>
      <c r="D640" t="s">
        <v>222</v>
      </c>
      <c r="E640" t="s">
        <v>33</v>
      </c>
      <c r="F640" t="s">
        <v>148</v>
      </c>
      <c r="G640" t="s">
        <v>59</v>
      </c>
      <c r="H640" s="1">
        <v>44472</v>
      </c>
      <c r="I640" t="s">
        <v>72</v>
      </c>
      <c r="J640" t="s">
        <v>61</v>
      </c>
      <c r="K640">
        <v>2021</v>
      </c>
      <c r="L640">
        <v>2129</v>
      </c>
      <c r="M640">
        <v>12</v>
      </c>
      <c r="N640">
        <v>188</v>
      </c>
      <c r="O640">
        <v>400252</v>
      </c>
      <c r="P640">
        <v>12007.56</v>
      </c>
      <c r="Q640">
        <v>388244.44</v>
      </c>
      <c r="R640">
        <v>215.0975</v>
      </c>
      <c r="S640">
        <v>25548</v>
      </c>
      <c r="T640">
        <v>362696.44</v>
      </c>
    </row>
    <row r="641" spans="1:20" x14ac:dyDescent="0.35">
      <c r="A641" t="s">
        <v>79</v>
      </c>
      <c r="B641" t="s">
        <v>54</v>
      </c>
      <c r="C641" t="s">
        <v>48</v>
      </c>
      <c r="D641" t="s">
        <v>139</v>
      </c>
      <c r="E641" t="s">
        <v>50</v>
      </c>
      <c r="F641" t="s">
        <v>140</v>
      </c>
      <c r="G641" t="s">
        <v>59</v>
      </c>
      <c r="H641" s="1">
        <v>44544</v>
      </c>
      <c r="I641" t="s">
        <v>64</v>
      </c>
      <c r="J641" t="s">
        <v>61</v>
      </c>
      <c r="K641">
        <v>2021</v>
      </c>
      <c r="L641">
        <v>2975</v>
      </c>
      <c r="M641">
        <v>308</v>
      </c>
      <c r="N641">
        <v>18</v>
      </c>
      <c r="O641">
        <v>53550</v>
      </c>
      <c r="P641">
        <v>1606.5000000000002</v>
      </c>
      <c r="Q641">
        <v>51943.5</v>
      </c>
      <c r="R641">
        <v>28.855560000000001</v>
      </c>
      <c r="S641">
        <v>916300</v>
      </c>
      <c r="T641">
        <v>-864356.5</v>
      </c>
    </row>
    <row r="642" spans="1:20" x14ac:dyDescent="0.35">
      <c r="A642" t="s">
        <v>29</v>
      </c>
      <c r="B642" t="s">
        <v>38</v>
      </c>
      <c r="C642" t="s">
        <v>31</v>
      </c>
      <c r="D642" t="s">
        <v>199</v>
      </c>
      <c r="E642" t="s">
        <v>33</v>
      </c>
      <c r="F642" t="s">
        <v>200</v>
      </c>
      <c r="G642" t="s">
        <v>59</v>
      </c>
      <c r="H642" s="1">
        <v>44553</v>
      </c>
      <c r="I642" t="s">
        <v>64</v>
      </c>
      <c r="J642" t="s">
        <v>61</v>
      </c>
      <c r="K642">
        <v>2021</v>
      </c>
      <c r="L642">
        <v>2437</v>
      </c>
      <c r="M642">
        <v>12</v>
      </c>
      <c r="N642">
        <v>23</v>
      </c>
      <c r="O642">
        <v>56051</v>
      </c>
      <c r="P642">
        <v>2242.0399999999995</v>
      </c>
      <c r="Q642">
        <v>53808.959999999999</v>
      </c>
      <c r="R642">
        <v>29.246400000000001</v>
      </c>
      <c r="S642">
        <v>29244</v>
      </c>
      <c r="T642">
        <v>24564.959999999999</v>
      </c>
    </row>
    <row r="643" spans="1:20" x14ac:dyDescent="0.35">
      <c r="A643" t="s">
        <v>29</v>
      </c>
      <c r="B643" t="s">
        <v>54</v>
      </c>
      <c r="C643" t="s">
        <v>22</v>
      </c>
      <c r="D643" t="s">
        <v>304</v>
      </c>
      <c r="E643" t="s">
        <v>24</v>
      </c>
      <c r="F643" t="s">
        <v>191</v>
      </c>
      <c r="G643" t="s">
        <v>59</v>
      </c>
      <c r="H643" s="1">
        <v>44528</v>
      </c>
      <c r="I643" t="s">
        <v>60</v>
      </c>
      <c r="J643" t="s">
        <v>61</v>
      </c>
      <c r="K643">
        <v>2021</v>
      </c>
      <c r="L643">
        <v>2360</v>
      </c>
      <c r="M643">
        <v>6</v>
      </c>
      <c r="N643">
        <v>23</v>
      </c>
      <c r="O643">
        <v>54280</v>
      </c>
      <c r="P643">
        <v>2171.1999999999998</v>
      </c>
      <c r="Q643">
        <v>52108.800000000003</v>
      </c>
      <c r="R643">
        <v>28.3248</v>
      </c>
      <c r="S643">
        <v>14160</v>
      </c>
      <c r="T643">
        <v>37948.800000000003</v>
      </c>
    </row>
    <row r="644" spans="1:20" x14ac:dyDescent="0.35">
      <c r="A644" t="s">
        <v>20</v>
      </c>
      <c r="B644" t="s">
        <v>84</v>
      </c>
      <c r="C644" t="s">
        <v>22</v>
      </c>
      <c r="D644" t="s">
        <v>306</v>
      </c>
      <c r="E644" t="s">
        <v>24</v>
      </c>
      <c r="F644" t="s">
        <v>307</v>
      </c>
      <c r="G644" t="s">
        <v>59</v>
      </c>
      <c r="H644" s="1">
        <v>44504</v>
      </c>
      <c r="I644" t="s">
        <v>60</v>
      </c>
      <c r="J644" t="s">
        <v>61</v>
      </c>
      <c r="K644">
        <v>2021</v>
      </c>
      <c r="L644">
        <v>1366</v>
      </c>
      <c r="M644">
        <v>6</v>
      </c>
      <c r="N644">
        <v>188</v>
      </c>
      <c r="O644">
        <v>256808</v>
      </c>
      <c r="P644">
        <v>10272.32</v>
      </c>
      <c r="Q644">
        <v>246535.67999999999</v>
      </c>
      <c r="R644">
        <v>136.56</v>
      </c>
      <c r="S644">
        <v>8196</v>
      </c>
      <c r="T644">
        <v>238339.68</v>
      </c>
    </row>
    <row r="645" spans="1:20" x14ac:dyDescent="0.35">
      <c r="A645" t="s">
        <v>20</v>
      </c>
      <c r="B645" t="s">
        <v>42</v>
      </c>
      <c r="C645" t="s">
        <v>31</v>
      </c>
      <c r="D645" t="s">
        <v>73</v>
      </c>
      <c r="E645" t="s">
        <v>33</v>
      </c>
      <c r="F645" t="s">
        <v>74</v>
      </c>
      <c r="G645" t="s">
        <v>59</v>
      </c>
      <c r="H645" s="1">
        <v>44509</v>
      </c>
      <c r="I645" t="s">
        <v>60</v>
      </c>
      <c r="J645" t="s">
        <v>61</v>
      </c>
      <c r="K645">
        <v>2021</v>
      </c>
      <c r="L645">
        <v>954</v>
      </c>
      <c r="M645">
        <v>12</v>
      </c>
      <c r="N645">
        <v>188</v>
      </c>
      <c r="O645">
        <v>179352</v>
      </c>
      <c r="P645">
        <v>7174.08</v>
      </c>
      <c r="Q645">
        <v>172177.92000000001</v>
      </c>
      <c r="R645">
        <v>95.4</v>
      </c>
      <c r="S645">
        <v>11448</v>
      </c>
      <c r="T645">
        <v>160729.92000000001</v>
      </c>
    </row>
    <row r="646" spans="1:20" x14ac:dyDescent="0.35">
      <c r="A646" t="s">
        <v>37</v>
      </c>
      <c r="B646" t="s">
        <v>38</v>
      </c>
      <c r="C646" t="s">
        <v>31</v>
      </c>
      <c r="D646" t="s">
        <v>39</v>
      </c>
      <c r="E646" t="s">
        <v>33</v>
      </c>
      <c r="F646" t="s">
        <v>40</v>
      </c>
      <c r="G646" t="s">
        <v>59</v>
      </c>
      <c r="H646" s="1">
        <v>44560</v>
      </c>
      <c r="I646" t="s">
        <v>64</v>
      </c>
      <c r="J646" t="s">
        <v>61</v>
      </c>
      <c r="K646">
        <v>2021</v>
      </c>
      <c r="L646">
        <v>2489</v>
      </c>
      <c r="M646">
        <v>12</v>
      </c>
      <c r="N646">
        <v>30</v>
      </c>
      <c r="O646">
        <v>74670</v>
      </c>
      <c r="P646">
        <v>2986.8</v>
      </c>
      <c r="Q646">
        <v>71683.199999999997</v>
      </c>
      <c r="R646">
        <v>39.820800000000006</v>
      </c>
      <c r="S646">
        <v>29868</v>
      </c>
      <c r="T646">
        <v>41815.199999999997</v>
      </c>
    </row>
    <row r="647" spans="1:20" x14ac:dyDescent="0.35">
      <c r="A647" t="s">
        <v>79</v>
      </c>
      <c r="B647" t="s">
        <v>38</v>
      </c>
      <c r="C647" t="s">
        <v>43</v>
      </c>
      <c r="D647" t="s">
        <v>305</v>
      </c>
      <c r="E647" t="s">
        <v>45</v>
      </c>
      <c r="F647" t="s">
        <v>240</v>
      </c>
      <c r="G647" t="s">
        <v>59</v>
      </c>
      <c r="H647" s="1">
        <v>44556</v>
      </c>
      <c r="I647" t="s">
        <v>64</v>
      </c>
      <c r="J647" t="s">
        <v>61</v>
      </c>
      <c r="K647">
        <v>2021</v>
      </c>
      <c r="L647">
        <v>1758</v>
      </c>
      <c r="M647">
        <v>148</v>
      </c>
      <c r="N647">
        <v>18</v>
      </c>
      <c r="O647">
        <v>31644</v>
      </c>
      <c r="P647">
        <v>1265.76</v>
      </c>
      <c r="Q647">
        <v>30378.240000000002</v>
      </c>
      <c r="R647">
        <v>16.876799999999999</v>
      </c>
      <c r="S647">
        <v>260184</v>
      </c>
      <c r="T647">
        <v>-229805.76</v>
      </c>
    </row>
    <row r="648" spans="1:20" x14ac:dyDescent="0.35">
      <c r="A648" t="s">
        <v>79</v>
      </c>
      <c r="B648" t="s">
        <v>38</v>
      </c>
      <c r="C648" t="s">
        <v>31</v>
      </c>
      <c r="D648" t="s">
        <v>127</v>
      </c>
      <c r="E648" t="s">
        <v>33</v>
      </c>
      <c r="F648" t="s">
        <v>128</v>
      </c>
      <c r="G648" t="s">
        <v>108</v>
      </c>
      <c r="H648" s="1">
        <v>44540</v>
      </c>
      <c r="I648" t="s">
        <v>64</v>
      </c>
      <c r="J648" t="s">
        <v>61</v>
      </c>
      <c r="K648">
        <v>2021</v>
      </c>
      <c r="L648">
        <v>2917</v>
      </c>
      <c r="M648">
        <v>12</v>
      </c>
      <c r="N648">
        <v>18</v>
      </c>
      <c r="O648">
        <v>52506</v>
      </c>
      <c r="P648">
        <v>2625.2999999999997</v>
      </c>
      <c r="Q648">
        <v>49880.7</v>
      </c>
      <c r="R648">
        <v>27.7134</v>
      </c>
      <c r="S648">
        <v>35004</v>
      </c>
      <c r="T648">
        <v>14876.699999999997</v>
      </c>
    </row>
    <row r="649" spans="1:20" x14ac:dyDescent="0.35">
      <c r="A649" t="s">
        <v>79</v>
      </c>
      <c r="B649" t="s">
        <v>65</v>
      </c>
      <c r="C649" t="s">
        <v>43</v>
      </c>
      <c r="D649" t="s">
        <v>261</v>
      </c>
      <c r="E649" t="s">
        <v>45</v>
      </c>
      <c r="F649" t="s">
        <v>176</v>
      </c>
      <c r="G649" t="s">
        <v>108</v>
      </c>
      <c r="H649" s="1">
        <v>44508</v>
      </c>
      <c r="I649" t="s">
        <v>60</v>
      </c>
      <c r="J649" t="s">
        <v>61</v>
      </c>
      <c r="K649">
        <v>2021</v>
      </c>
      <c r="L649">
        <v>2917</v>
      </c>
      <c r="M649">
        <v>148</v>
      </c>
      <c r="N649">
        <v>18</v>
      </c>
      <c r="O649">
        <v>52506</v>
      </c>
      <c r="P649">
        <v>2625.2999999999997</v>
      </c>
      <c r="Q649">
        <v>49880.7</v>
      </c>
      <c r="R649">
        <v>27.7134</v>
      </c>
      <c r="S649">
        <v>431716</v>
      </c>
      <c r="T649">
        <v>-381835.3</v>
      </c>
    </row>
    <row r="650" spans="1:20" x14ac:dyDescent="0.35">
      <c r="A650" t="s">
        <v>53</v>
      </c>
      <c r="B650" t="s">
        <v>84</v>
      </c>
      <c r="C650" t="s">
        <v>55</v>
      </c>
      <c r="D650" t="s">
        <v>303</v>
      </c>
      <c r="E650" t="s">
        <v>57</v>
      </c>
      <c r="F650" t="s">
        <v>114</v>
      </c>
      <c r="G650" t="s">
        <v>108</v>
      </c>
      <c r="H650" s="1">
        <v>44553</v>
      </c>
      <c r="I650" t="s">
        <v>64</v>
      </c>
      <c r="J650" t="s">
        <v>61</v>
      </c>
      <c r="K650">
        <v>2021</v>
      </c>
      <c r="L650">
        <v>1189</v>
      </c>
      <c r="M650">
        <v>4</v>
      </c>
      <c r="N650">
        <v>450</v>
      </c>
      <c r="O650">
        <v>535050</v>
      </c>
      <c r="P650">
        <v>26752.5</v>
      </c>
      <c r="Q650">
        <v>508297.5</v>
      </c>
      <c r="R650">
        <v>282.435</v>
      </c>
      <c r="S650">
        <v>4756</v>
      </c>
      <c r="T650">
        <v>503541.5</v>
      </c>
    </row>
    <row r="651" spans="1:20" x14ac:dyDescent="0.35">
      <c r="A651" t="s">
        <v>37</v>
      </c>
      <c r="B651" t="s">
        <v>38</v>
      </c>
      <c r="C651" t="s">
        <v>31</v>
      </c>
      <c r="D651" t="s">
        <v>117</v>
      </c>
      <c r="E651" t="s">
        <v>33</v>
      </c>
      <c r="F651" t="s">
        <v>118</v>
      </c>
      <c r="G651" t="s">
        <v>108</v>
      </c>
      <c r="H651" s="1">
        <v>44523</v>
      </c>
      <c r="I651" t="s">
        <v>60</v>
      </c>
      <c r="J651" t="s">
        <v>61</v>
      </c>
      <c r="K651">
        <v>2021</v>
      </c>
      <c r="L651">
        <v>1564</v>
      </c>
      <c r="M651">
        <v>12</v>
      </c>
      <c r="N651">
        <v>30</v>
      </c>
      <c r="O651">
        <v>46920</v>
      </c>
      <c r="P651">
        <v>2346</v>
      </c>
      <c r="Q651">
        <v>44574</v>
      </c>
      <c r="R651">
        <v>24.757000000000001</v>
      </c>
      <c r="S651">
        <v>18768</v>
      </c>
      <c r="T651">
        <v>25806</v>
      </c>
    </row>
    <row r="652" spans="1:20" x14ac:dyDescent="0.35">
      <c r="A652" t="s">
        <v>37</v>
      </c>
      <c r="B652" t="s">
        <v>54</v>
      </c>
      <c r="C652" t="s">
        <v>31</v>
      </c>
      <c r="D652" t="s">
        <v>183</v>
      </c>
      <c r="E652" t="s">
        <v>33</v>
      </c>
      <c r="F652" t="s">
        <v>184</v>
      </c>
      <c r="G652" t="s">
        <v>108</v>
      </c>
      <c r="H652" s="1">
        <v>44521</v>
      </c>
      <c r="I652" t="s">
        <v>60</v>
      </c>
      <c r="J652" t="s">
        <v>61</v>
      </c>
      <c r="K652">
        <v>2021</v>
      </c>
      <c r="L652">
        <v>722</v>
      </c>
      <c r="M652">
        <v>12</v>
      </c>
      <c r="N652">
        <v>525</v>
      </c>
      <c r="O652">
        <v>379050</v>
      </c>
      <c r="P652">
        <v>18952.5</v>
      </c>
      <c r="Q652">
        <v>360097.5</v>
      </c>
      <c r="R652">
        <v>200.16499999999999</v>
      </c>
      <c r="S652">
        <v>8664</v>
      </c>
      <c r="T652">
        <v>351433.5</v>
      </c>
    </row>
    <row r="653" spans="1:20" x14ac:dyDescent="0.35">
      <c r="A653" t="s">
        <v>20</v>
      </c>
      <c r="B653" t="s">
        <v>65</v>
      </c>
      <c r="C653" t="s">
        <v>43</v>
      </c>
      <c r="D653" t="s">
        <v>254</v>
      </c>
      <c r="E653" t="s">
        <v>45</v>
      </c>
      <c r="F653" t="s">
        <v>255</v>
      </c>
      <c r="G653" t="s">
        <v>108</v>
      </c>
      <c r="H653" s="1">
        <v>44476</v>
      </c>
      <c r="I653" t="s">
        <v>72</v>
      </c>
      <c r="J653" t="s">
        <v>61</v>
      </c>
      <c r="K653">
        <v>2021</v>
      </c>
      <c r="L653">
        <v>968</v>
      </c>
      <c r="M653">
        <v>148</v>
      </c>
      <c r="N653">
        <v>188</v>
      </c>
      <c r="O653">
        <v>181984</v>
      </c>
      <c r="P653">
        <v>9099.2000000000007</v>
      </c>
      <c r="Q653">
        <v>172884.8</v>
      </c>
      <c r="R653">
        <v>95.831249999999997</v>
      </c>
      <c r="S653">
        <v>143264</v>
      </c>
      <c r="T653">
        <v>29620.799999999988</v>
      </c>
    </row>
    <row r="654" spans="1:20" x14ac:dyDescent="0.35">
      <c r="A654" t="s">
        <v>37</v>
      </c>
      <c r="B654" t="s">
        <v>84</v>
      </c>
      <c r="C654" t="s">
        <v>43</v>
      </c>
      <c r="D654" t="s">
        <v>131</v>
      </c>
      <c r="E654" t="s">
        <v>45</v>
      </c>
      <c r="F654" t="s">
        <v>132</v>
      </c>
      <c r="G654" t="s">
        <v>108</v>
      </c>
      <c r="H654" s="1">
        <v>44513</v>
      </c>
      <c r="I654" t="s">
        <v>60</v>
      </c>
      <c r="J654" t="s">
        <v>61</v>
      </c>
      <c r="K654">
        <v>2021</v>
      </c>
      <c r="L654">
        <v>1895</v>
      </c>
      <c r="M654">
        <v>148</v>
      </c>
      <c r="N654">
        <v>30</v>
      </c>
      <c r="O654">
        <v>56850</v>
      </c>
      <c r="P654">
        <v>2842.5</v>
      </c>
      <c r="Q654">
        <v>54007.5</v>
      </c>
      <c r="R654">
        <v>30.001000000000001</v>
      </c>
      <c r="S654">
        <v>280460</v>
      </c>
      <c r="T654">
        <v>-226452.5</v>
      </c>
    </row>
    <row r="655" spans="1:20" x14ac:dyDescent="0.35">
      <c r="A655" t="s">
        <v>37</v>
      </c>
      <c r="B655" t="s">
        <v>21</v>
      </c>
      <c r="C655" t="s">
        <v>48</v>
      </c>
      <c r="D655" t="s">
        <v>98</v>
      </c>
      <c r="E655" t="s">
        <v>50</v>
      </c>
      <c r="F655" t="s">
        <v>99</v>
      </c>
      <c r="G655" t="s">
        <v>108</v>
      </c>
      <c r="H655" s="1">
        <v>44493</v>
      </c>
      <c r="I655" t="s">
        <v>72</v>
      </c>
      <c r="J655" t="s">
        <v>61</v>
      </c>
      <c r="K655">
        <v>2021</v>
      </c>
      <c r="L655">
        <v>684</v>
      </c>
      <c r="M655">
        <v>308</v>
      </c>
      <c r="N655">
        <v>11</v>
      </c>
      <c r="O655">
        <v>7524</v>
      </c>
      <c r="P655">
        <v>376.20000000000005</v>
      </c>
      <c r="Q655">
        <v>7147.8</v>
      </c>
      <c r="R655">
        <v>3.7905000000000002</v>
      </c>
      <c r="S655">
        <v>210672</v>
      </c>
      <c r="T655">
        <v>-203524.2</v>
      </c>
    </row>
    <row r="656" spans="1:20" x14ac:dyDescent="0.35">
      <c r="A656" t="s">
        <v>37</v>
      </c>
      <c r="B656" t="s">
        <v>54</v>
      </c>
      <c r="C656" t="s">
        <v>102</v>
      </c>
      <c r="D656" t="s">
        <v>106</v>
      </c>
      <c r="E656" t="s">
        <v>104</v>
      </c>
      <c r="F656" t="s">
        <v>107</v>
      </c>
      <c r="G656" t="s">
        <v>108</v>
      </c>
      <c r="H656" s="1">
        <v>44548</v>
      </c>
      <c r="I656" t="s">
        <v>64</v>
      </c>
      <c r="J656" t="s">
        <v>61</v>
      </c>
      <c r="K656">
        <v>2021</v>
      </c>
      <c r="L656">
        <v>1620</v>
      </c>
      <c r="M656">
        <v>320</v>
      </c>
      <c r="N656">
        <v>525</v>
      </c>
      <c r="O656">
        <v>850500</v>
      </c>
      <c r="P656">
        <v>42525</v>
      </c>
      <c r="Q656">
        <v>807975</v>
      </c>
      <c r="R656">
        <v>448.875</v>
      </c>
      <c r="S656">
        <v>518400</v>
      </c>
      <c r="T656">
        <v>289575</v>
      </c>
    </row>
    <row r="657" spans="1:20" x14ac:dyDescent="0.35">
      <c r="A657" t="s">
        <v>79</v>
      </c>
      <c r="B657" t="s">
        <v>42</v>
      </c>
      <c r="C657" t="s">
        <v>22</v>
      </c>
      <c r="D657" t="s">
        <v>308</v>
      </c>
      <c r="E657" t="s">
        <v>24</v>
      </c>
      <c r="F657" t="s">
        <v>171</v>
      </c>
      <c r="G657" t="s">
        <v>108</v>
      </c>
      <c r="H657" s="1">
        <v>44520</v>
      </c>
      <c r="I657" t="s">
        <v>60</v>
      </c>
      <c r="J657" t="s">
        <v>61</v>
      </c>
      <c r="K657">
        <v>2021</v>
      </c>
      <c r="L657">
        <v>3268</v>
      </c>
      <c r="M657">
        <v>6</v>
      </c>
      <c r="N657">
        <v>18</v>
      </c>
      <c r="O657">
        <v>58824</v>
      </c>
      <c r="P657">
        <v>3529.44</v>
      </c>
      <c r="Q657">
        <v>55294.559999999998</v>
      </c>
      <c r="R657">
        <v>30.715439999999997</v>
      </c>
      <c r="S657">
        <v>19608</v>
      </c>
      <c r="T657">
        <v>35686.559999999998</v>
      </c>
    </row>
    <row r="658" spans="1:20" x14ac:dyDescent="0.35">
      <c r="A658" t="s">
        <v>20</v>
      </c>
      <c r="B658" t="s">
        <v>42</v>
      </c>
      <c r="C658" t="s">
        <v>43</v>
      </c>
      <c r="D658" t="s">
        <v>44</v>
      </c>
      <c r="E658" t="s">
        <v>45</v>
      </c>
      <c r="F658" t="s">
        <v>46</v>
      </c>
      <c r="G658" t="s">
        <v>108</v>
      </c>
      <c r="H658" s="1">
        <v>44511</v>
      </c>
      <c r="I658" t="s">
        <v>60</v>
      </c>
      <c r="J658" t="s">
        <v>61</v>
      </c>
      <c r="K658">
        <v>2021</v>
      </c>
      <c r="L658">
        <v>1142</v>
      </c>
      <c r="M658">
        <v>148</v>
      </c>
      <c r="N658">
        <v>188</v>
      </c>
      <c r="O658">
        <v>214696</v>
      </c>
      <c r="P658">
        <v>12881.76</v>
      </c>
      <c r="Q658">
        <v>201814.24</v>
      </c>
      <c r="R658">
        <v>111.86</v>
      </c>
      <c r="S658">
        <v>169016</v>
      </c>
      <c r="T658">
        <v>32798.239999999991</v>
      </c>
    </row>
    <row r="659" spans="1:20" x14ac:dyDescent="0.35">
      <c r="A659" t="s">
        <v>29</v>
      </c>
      <c r="B659" t="s">
        <v>30</v>
      </c>
      <c r="C659" t="s">
        <v>31</v>
      </c>
      <c r="D659" t="s">
        <v>82</v>
      </c>
      <c r="E659" t="s">
        <v>33</v>
      </c>
      <c r="F659" t="s">
        <v>83</v>
      </c>
      <c r="G659" t="s">
        <v>108</v>
      </c>
      <c r="H659" s="1">
        <v>44489</v>
      </c>
      <c r="I659" t="s">
        <v>72</v>
      </c>
      <c r="J659" t="s">
        <v>61</v>
      </c>
      <c r="K659">
        <v>2021</v>
      </c>
      <c r="L659">
        <v>2638</v>
      </c>
      <c r="M659">
        <v>12</v>
      </c>
      <c r="N659">
        <v>23</v>
      </c>
      <c r="O659">
        <v>60674</v>
      </c>
      <c r="P659">
        <v>3640.4400000000005</v>
      </c>
      <c r="Q659">
        <v>57033.56</v>
      </c>
      <c r="R659">
        <v>30.991799999999998</v>
      </c>
      <c r="S659">
        <v>31656</v>
      </c>
      <c r="T659">
        <v>25377.559999999998</v>
      </c>
    </row>
    <row r="660" spans="1:20" x14ac:dyDescent="0.35">
      <c r="A660" t="s">
        <v>37</v>
      </c>
      <c r="B660" t="s">
        <v>38</v>
      </c>
      <c r="C660" t="s">
        <v>43</v>
      </c>
      <c r="D660" t="s">
        <v>262</v>
      </c>
      <c r="E660" t="s">
        <v>45</v>
      </c>
      <c r="F660" t="s">
        <v>263</v>
      </c>
      <c r="G660" t="s">
        <v>108</v>
      </c>
      <c r="H660" s="1">
        <v>44530</v>
      </c>
      <c r="I660" t="s">
        <v>60</v>
      </c>
      <c r="J660" t="s">
        <v>61</v>
      </c>
      <c r="K660">
        <v>2021</v>
      </c>
      <c r="L660">
        <v>1201</v>
      </c>
      <c r="M660">
        <v>148</v>
      </c>
      <c r="N660">
        <v>30</v>
      </c>
      <c r="O660">
        <v>36030</v>
      </c>
      <c r="P660">
        <v>2161.8000000000002</v>
      </c>
      <c r="Q660">
        <v>33868.199999999997</v>
      </c>
      <c r="R660">
        <v>18.8188</v>
      </c>
      <c r="S660">
        <v>177748</v>
      </c>
      <c r="T660">
        <v>-143879.79999999999</v>
      </c>
    </row>
    <row r="661" spans="1:20" x14ac:dyDescent="0.35">
      <c r="A661" t="s">
        <v>29</v>
      </c>
      <c r="B661" t="s">
        <v>54</v>
      </c>
      <c r="C661" t="s">
        <v>48</v>
      </c>
      <c r="D661" t="s">
        <v>279</v>
      </c>
      <c r="E661" t="s">
        <v>50</v>
      </c>
      <c r="F661" t="s">
        <v>163</v>
      </c>
      <c r="G661" t="s">
        <v>108</v>
      </c>
      <c r="H661" s="1">
        <v>44482</v>
      </c>
      <c r="I661" t="s">
        <v>72</v>
      </c>
      <c r="J661" t="s">
        <v>61</v>
      </c>
      <c r="K661">
        <v>2021</v>
      </c>
      <c r="L661">
        <v>1384</v>
      </c>
      <c r="M661">
        <v>308</v>
      </c>
      <c r="N661">
        <v>23</v>
      </c>
      <c r="O661">
        <v>31832</v>
      </c>
      <c r="P661">
        <v>1909.92</v>
      </c>
      <c r="Q661">
        <v>29922.080000000002</v>
      </c>
      <c r="R661">
        <v>16.257300000000001</v>
      </c>
      <c r="S661">
        <v>426272</v>
      </c>
      <c r="T661">
        <v>-396349.92</v>
      </c>
    </row>
    <row r="662" spans="1:20" x14ac:dyDescent="0.35">
      <c r="A662" t="s">
        <v>53</v>
      </c>
      <c r="B662" t="s">
        <v>65</v>
      </c>
      <c r="C662" t="s">
        <v>43</v>
      </c>
      <c r="D662" t="s">
        <v>129</v>
      </c>
      <c r="E662" t="s">
        <v>45</v>
      </c>
      <c r="F662" t="s">
        <v>130</v>
      </c>
      <c r="G662" t="s">
        <v>108</v>
      </c>
      <c r="H662" s="1">
        <v>44506</v>
      </c>
      <c r="I662" t="s">
        <v>60</v>
      </c>
      <c r="J662" t="s">
        <v>61</v>
      </c>
      <c r="K662">
        <v>2021</v>
      </c>
      <c r="L662">
        <v>1991</v>
      </c>
      <c r="M662">
        <v>148</v>
      </c>
      <c r="N662">
        <v>450</v>
      </c>
      <c r="O662">
        <v>895950</v>
      </c>
      <c r="P662">
        <v>62716.500000000007</v>
      </c>
      <c r="Q662">
        <v>833233.5</v>
      </c>
      <c r="R662">
        <v>462.86099999999999</v>
      </c>
      <c r="S662">
        <v>294668</v>
      </c>
      <c r="T662">
        <v>538565.5</v>
      </c>
    </row>
    <row r="663" spans="1:20" x14ac:dyDescent="0.35">
      <c r="A663" t="s">
        <v>37</v>
      </c>
      <c r="B663" t="s">
        <v>54</v>
      </c>
      <c r="C663" t="s">
        <v>22</v>
      </c>
      <c r="D663" t="s">
        <v>96</v>
      </c>
      <c r="E663" t="s">
        <v>24</v>
      </c>
      <c r="F663" t="s">
        <v>97</v>
      </c>
      <c r="G663" t="s">
        <v>108</v>
      </c>
      <c r="H663" s="1">
        <v>44489</v>
      </c>
      <c r="I663" t="s">
        <v>72</v>
      </c>
      <c r="J663" t="s">
        <v>61</v>
      </c>
      <c r="K663">
        <v>2021</v>
      </c>
      <c r="L663">
        <v>586</v>
      </c>
      <c r="M663">
        <v>6</v>
      </c>
      <c r="N663">
        <v>11</v>
      </c>
      <c r="O663">
        <v>6446</v>
      </c>
      <c r="P663">
        <v>515.67999999999995</v>
      </c>
      <c r="Q663">
        <v>5930.32</v>
      </c>
      <c r="R663">
        <v>3.1427200000000002</v>
      </c>
      <c r="S663">
        <v>3516</v>
      </c>
      <c r="T663">
        <v>2414.3199999999997</v>
      </c>
    </row>
    <row r="664" spans="1:20" x14ac:dyDescent="0.35">
      <c r="A664" t="s">
        <v>20</v>
      </c>
      <c r="B664" t="s">
        <v>47</v>
      </c>
      <c r="C664" t="s">
        <v>31</v>
      </c>
      <c r="D664" t="s">
        <v>75</v>
      </c>
      <c r="E664" t="s">
        <v>33</v>
      </c>
      <c r="F664" t="s">
        <v>76</v>
      </c>
      <c r="G664" t="s">
        <v>108</v>
      </c>
      <c r="H664" s="1">
        <v>44509</v>
      </c>
      <c r="I664" t="s">
        <v>60</v>
      </c>
      <c r="J664" t="s">
        <v>61</v>
      </c>
      <c r="K664">
        <v>2021</v>
      </c>
      <c r="L664">
        <v>1337</v>
      </c>
      <c r="M664">
        <v>12</v>
      </c>
      <c r="N664">
        <v>188</v>
      </c>
      <c r="O664">
        <v>251356</v>
      </c>
      <c r="P664">
        <v>20108.48</v>
      </c>
      <c r="Q664">
        <v>231247.52</v>
      </c>
      <c r="R664">
        <v>128.11000000000001</v>
      </c>
      <c r="S664">
        <v>16044</v>
      </c>
      <c r="T664">
        <v>215203.52</v>
      </c>
    </row>
    <row r="665" spans="1:20" x14ac:dyDescent="0.35">
      <c r="A665" t="s">
        <v>37</v>
      </c>
      <c r="B665" t="s">
        <v>47</v>
      </c>
      <c r="C665" t="s">
        <v>48</v>
      </c>
      <c r="D665" t="s">
        <v>123</v>
      </c>
      <c r="E665" t="s">
        <v>50</v>
      </c>
      <c r="F665" t="s">
        <v>124</v>
      </c>
      <c r="G665" t="s">
        <v>108</v>
      </c>
      <c r="H665" s="1">
        <v>44482</v>
      </c>
      <c r="I665" t="s">
        <v>72</v>
      </c>
      <c r="J665" t="s">
        <v>61</v>
      </c>
      <c r="K665">
        <v>2021</v>
      </c>
      <c r="L665">
        <v>2806</v>
      </c>
      <c r="M665">
        <v>308</v>
      </c>
      <c r="N665">
        <v>11</v>
      </c>
      <c r="O665">
        <v>30866</v>
      </c>
      <c r="P665">
        <v>2469.2800000000002</v>
      </c>
      <c r="Q665">
        <v>28396.720000000001</v>
      </c>
      <c r="R665">
        <v>15.056719999999999</v>
      </c>
      <c r="S665">
        <v>864248</v>
      </c>
      <c r="T665">
        <v>-835851.28</v>
      </c>
    </row>
    <row r="666" spans="1:20" x14ac:dyDescent="0.35">
      <c r="A666" t="s">
        <v>37</v>
      </c>
      <c r="B666" t="s">
        <v>54</v>
      </c>
      <c r="C666" t="s">
        <v>102</v>
      </c>
      <c r="D666" t="s">
        <v>106</v>
      </c>
      <c r="E666" t="s">
        <v>104</v>
      </c>
      <c r="F666" t="s">
        <v>107</v>
      </c>
      <c r="G666" t="s">
        <v>108</v>
      </c>
      <c r="H666" s="1">
        <v>44477</v>
      </c>
      <c r="I666" t="s">
        <v>72</v>
      </c>
      <c r="J666" t="s">
        <v>61</v>
      </c>
      <c r="K666">
        <v>2021</v>
      </c>
      <c r="L666">
        <v>1639</v>
      </c>
      <c r="M666">
        <v>320</v>
      </c>
      <c r="N666">
        <v>30</v>
      </c>
      <c r="O666">
        <v>49170</v>
      </c>
      <c r="P666">
        <v>3933.6</v>
      </c>
      <c r="Q666">
        <v>45236.4</v>
      </c>
      <c r="R666">
        <v>25.134400000000003</v>
      </c>
      <c r="S666">
        <v>524480</v>
      </c>
      <c r="T666">
        <v>-479243.6</v>
      </c>
    </row>
    <row r="667" spans="1:20" x14ac:dyDescent="0.35">
      <c r="A667" t="s">
        <v>37</v>
      </c>
      <c r="B667" t="s">
        <v>54</v>
      </c>
      <c r="C667" t="s">
        <v>102</v>
      </c>
      <c r="D667" t="s">
        <v>106</v>
      </c>
      <c r="E667" t="s">
        <v>104</v>
      </c>
      <c r="F667" t="s">
        <v>107</v>
      </c>
      <c r="G667" t="s">
        <v>108</v>
      </c>
      <c r="H667" s="1">
        <v>44479</v>
      </c>
      <c r="I667" t="s">
        <v>72</v>
      </c>
      <c r="J667" t="s">
        <v>61</v>
      </c>
      <c r="K667">
        <v>2021</v>
      </c>
      <c r="L667">
        <v>1824</v>
      </c>
      <c r="M667">
        <v>320</v>
      </c>
      <c r="N667">
        <v>30</v>
      </c>
      <c r="O667">
        <v>54720</v>
      </c>
      <c r="P667">
        <v>4377.6000000000004</v>
      </c>
      <c r="Q667">
        <v>50342.400000000001</v>
      </c>
      <c r="R667">
        <v>27.968</v>
      </c>
      <c r="S667">
        <v>583680</v>
      </c>
      <c r="T667">
        <v>-533337.59999999998</v>
      </c>
    </row>
    <row r="668" spans="1:20" x14ac:dyDescent="0.35">
      <c r="A668" t="s">
        <v>53</v>
      </c>
      <c r="B668" t="s">
        <v>30</v>
      </c>
      <c r="C668" t="s">
        <v>55</v>
      </c>
      <c r="D668" t="s">
        <v>284</v>
      </c>
      <c r="E668" t="s">
        <v>57</v>
      </c>
      <c r="F668" t="s">
        <v>148</v>
      </c>
      <c r="G668" t="s">
        <v>108</v>
      </c>
      <c r="H668" s="1">
        <v>44550</v>
      </c>
      <c r="I668" t="s">
        <v>64</v>
      </c>
      <c r="J668" t="s">
        <v>61</v>
      </c>
      <c r="K668">
        <v>2021</v>
      </c>
      <c r="L668">
        <v>1313</v>
      </c>
      <c r="M668">
        <v>4</v>
      </c>
      <c r="N668">
        <v>450</v>
      </c>
      <c r="O668">
        <v>590850</v>
      </c>
      <c r="P668">
        <v>53176.5</v>
      </c>
      <c r="Q668">
        <v>537673.5</v>
      </c>
      <c r="R668">
        <v>298.66199999999998</v>
      </c>
      <c r="S668">
        <v>5252</v>
      </c>
      <c r="T668">
        <v>532421.5</v>
      </c>
    </row>
    <row r="669" spans="1:20" x14ac:dyDescent="0.35">
      <c r="A669" t="s">
        <v>53</v>
      </c>
      <c r="B669" t="s">
        <v>30</v>
      </c>
      <c r="C669" t="s">
        <v>22</v>
      </c>
      <c r="D669" t="s">
        <v>147</v>
      </c>
      <c r="E669" t="s">
        <v>24</v>
      </c>
      <c r="F669" t="s">
        <v>148</v>
      </c>
      <c r="G669" t="s">
        <v>108</v>
      </c>
      <c r="H669" s="1">
        <v>44536</v>
      </c>
      <c r="I669" t="s">
        <v>64</v>
      </c>
      <c r="J669" t="s">
        <v>61</v>
      </c>
      <c r="K669">
        <v>2021</v>
      </c>
      <c r="L669">
        <v>4563</v>
      </c>
      <c r="M669">
        <v>6</v>
      </c>
      <c r="N669">
        <v>450</v>
      </c>
      <c r="O669">
        <v>2053350</v>
      </c>
      <c r="P669">
        <v>184801.5</v>
      </c>
      <c r="Q669">
        <v>1868548.5</v>
      </c>
      <c r="R669">
        <v>1038.0825</v>
      </c>
      <c r="S669">
        <v>27378</v>
      </c>
      <c r="T669">
        <v>1841170.5</v>
      </c>
    </row>
    <row r="670" spans="1:20" x14ac:dyDescent="0.35">
      <c r="A670" t="s">
        <v>29</v>
      </c>
      <c r="B670" t="s">
        <v>54</v>
      </c>
      <c r="C670" t="s">
        <v>43</v>
      </c>
      <c r="D670" t="s">
        <v>162</v>
      </c>
      <c r="E670" t="s">
        <v>45</v>
      </c>
      <c r="F670" t="s">
        <v>163</v>
      </c>
      <c r="G670" t="s">
        <v>108</v>
      </c>
      <c r="H670" s="1">
        <v>44559</v>
      </c>
      <c r="I670" t="s">
        <v>64</v>
      </c>
      <c r="J670" t="s">
        <v>61</v>
      </c>
      <c r="K670">
        <v>2021</v>
      </c>
      <c r="L670">
        <v>294</v>
      </c>
      <c r="M670">
        <v>148</v>
      </c>
      <c r="N670">
        <v>23</v>
      </c>
      <c r="O670">
        <v>6762</v>
      </c>
      <c r="P670">
        <v>608.57999999999993</v>
      </c>
      <c r="Q670">
        <v>6153.42</v>
      </c>
      <c r="R670">
        <v>3.3442500000000002</v>
      </c>
      <c r="S670">
        <v>43512</v>
      </c>
      <c r="T670">
        <v>-37358.58</v>
      </c>
    </row>
    <row r="671" spans="1:20" x14ac:dyDescent="0.35">
      <c r="A671" t="s">
        <v>53</v>
      </c>
      <c r="B671" t="s">
        <v>47</v>
      </c>
      <c r="C671" t="s">
        <v>48</v>
      </c>
      <c r="D671" t="s">
        <v>90</v>
      </c>
      <c r="E671" t="s">
        <v>50</v>
      </c>
      <c r="F671" t="s">
        <v>91</v>
      </c>
      <c r="G671" t="s">
        <v>108</v>
      </c>
      <c r="H671" s="1">
        <v>44556</v>
      </c>
      <c r="I671" t="s">
        <v>64</v>
      </c>
      <c r="J671" t="s">
        <v>61</v>
      </c>
      <c r="K671">
        <v>2021</v>
      </c>
      <c r="L671">
        <v>3191</v>
      </c>
      <c r="M671">
        <v>308</v>
      </c>
      <c r="N671">
        <v>450</v>
      </c>
      <c r="O671">
        <v>1435950</v>
      </c>
      <c r="P671">
        <v>129235.5</v>
      </c>
      <c r="Q671">
        <v>1306714.5</v>
      </c>
      <c r="R671">
        <v>725.90700000000004</v>
      </c>
      <c r="S671">
        <v>982828</v>
      </c>
      <c r="T671">
        <v>323886.5</v>
      </c>
    </row>
    <row r="672" spans="1:20" x14ac:dyDescent="0.35">
      <c r="A672" t="s">
        <v>37</v>
      </c>
      <c r="B672" t="s">
        <v>21</v>
      </c>
      <c r="C672" t="s">
        <v>48</v>
      </c>
      <c r="D672" t="s">
        <v>98</v>
      </c>
      <c r="E672" t="s">
        <v>50</v>
      </c>
      <c r="F672" t="s">
        <v>99</v>
      </c>
      <c r="G672" t="s">
        <v>108</v>
      </c>
      <c r="H672" s="1">
        <v>44521</v>
      </c>
      <c r="I672" t="s">
        <v>60</v>
      </c>
      <c r="J672" t="s">
        <v>61</v>
      </c>
      <c r="K672">
        <v>2021</v>
      </c>
      <c r="L672">
        <v>1622</v>
      </c>
      <c r="M672">
        <v>308</v>
      </c>
      <c r="N672">
        <v>525</v>
      </c>
      <c r="O672">
        <v>851550</v>
      </c>
      <c r="P672">
        <v>76639.5</v>
      </c>
      <c r="Q672">
        <v>774910.5</v>
      </c>
      <c r="R672">
        <v>430.45274999999998</v>
      </c>
      <c r="S672">
        <v>499576</v>
      </c>
      <c r="T672">
        <v>275334.5</v>
      </c>
    </row>
    <row r="673" spans="1:20" x14ac:dyDescent="0.35">
      <c r="A673" t="s">
        <v>29</v>
      </c>
      <c r="B673" t="s">
        <v>42</v>
      </c>
      <c r="C673" t="s">
        <v>48</v>
      </c>
      <c r="D673" t="s">
        <v>202</v>
      </c>
      <c r="E673" t="s">
        <v>50</v>
      </c>
      <c r="F673" t="s">
        <v>116</v>
      </c>
      <c r="G673" t="s">
        <v>108</v>
      </c>
      <c r="H673" s="1">
        <v>44494</v>
      </c>
      <c r="I673" t="s">
        <v>72</v>
      </c>
      <c r="J673" t="s">
        <v>61</v>
      </c>
      <c r="K673">
        <v>2021</v>
      </c>
      <c r="L673">
        <v>1472</v>
      </c>
      <c r="M673">
        <v>308</v>
      </c>
      <c r="N673">
        <v>23</v>
      </c>
      <c r="O673">
        <v>33856</v>
      </c>
      <c r="P673">
        <v>3047.04</v>
      </c>
      <c r="Q673">
        <v>30808.959999999999</v>
      </c>
      <c r="R673">
        <v>16.748549999999998</v>
      </c>
      <c r="S673">
        <v>453376</v>
      </c>
      <c r="T673">
        <v>-422567.04</v>
      </c>
    </row>
    <row r="674" spans="1:20" x14ac:dyDescent="0.35">
      <c r="A674" t="s">
        <v>20</v>
      </c>
      <c r="B674" t="s">
        <v>65</v>
      </c>
      <c r="C674" t="s">
        <v>48</v>
      </c>
      <c r="D674" t="s">
        <v>275</v>
      </c>
      <c r="E674" t="s">
        <v>50</v>
      </c>
      <c r="F674" t="s">
        <v>120</v>
      </c>
      <c r="G674" t="s">
        <v>108</v>
      </c>
      <c r="H674" s="1">
        <v>44494</v>
      </c>
      <c r="I674" t="s">
        <v>72</v>
      </c>
      <c r="J674" t="s">
        <v>61</v>
      </c>
      <c r="K674">
        <v>2021</v>
      </c>
      <c r="L674">
        <v>1052</v>
      </c>
      <c r="M674">
        <v>308</v>
      </c>
      <c r="N674">
        <v>188</v>
      </c>
      <c r="O674">
        <v>197776</v>
      </c>
      <c r="P674">
        <v>17799.84</v>
      </c>
      <c r="Q674">
        <v>179976.16</v>
      </c>
      <c r="R674">
        <v>99.758750000000006</v>
      </c>
      <c r="S674">
        <v>324016</v>
      </c>
      <c r="T674">
        <v>-144039.84</v>
      </c>
    </row>
    <row r="675" spans="1:20" x14ac:dyDescent="0.35">
      <c r="A675" t="s">
        <v>37</v>
      </c>
      <c r="B675" t="s">
        <v>47</v>
      </c>
      <c r="C675" t="s">
        <v>48</v>
      </c>
      <c r="D675" t="s">
        <v>123</v>
      </c>
      <c r="E675" t="s">
        <v>50</v>
      </c>
      <c r="F675" t="s">
        <v>124</v>
      </c>
      <c r="G675" t="s">
        <v>108</v>
      </c>
      <c r="H675" s="1">
        <v>44534</v>
      </c>
      <c r="I675" t="s">
        <v>64</v>
      </c>
      <c r="J675" t="s">
        <v>61</v>
      </c>
      <c r="K675">
        <v>2021</v>
      </c>
      <c r="L675">
        <v>432</v>
      </c>
      <c r="M675">
        <v>308</v>
      </c>
      <c r="N675">
        <v>11</v>
      </c>
      <c r="O675">
        <v>4752</v>
      </c>
      <c r="P675">
        <v>427.68000000000006</v>
      </c>
      <c r="Q675">
        <v>4324.32</v>
      </c>
      <c r="R675">
        <v>2.2931999999999997</v>
      </c>
      <c r="S675">
        <v>133056</v>
      </c>
      <c r="T675">
        <v>-128731.68</v>
      </c>
    </row>
    <row r="676" spans="1:20" x14ac:dyDescent="0.35">
      <c r="A676" t="s">
        <v>37</v>
      </c>
      <c r="B676" t="s">
        <v>47</v>
      </c>
      <c r="C676" t="s">
        <v>31</v>
      </c>
      <c r="D676" t="s">
        <v>149</v>
      </c>
      <c r="E676" t="s">
        <v>33</v>
      </c>
      <c r="F676" t="s">
        <v>150</v>
      </c>
      <c r="G676" t="s">
        <v>157</v>
      </c>
      <c r="H676" s="1">
        <v>44493</v>
      </c>
      <c r="I676" t="s">
        <v>72</v>
      </c>
      <c r="J676" t="s">
        <v>61</v>
      </c>
      <c r="K676">
        <v>2021</v>
      </c>
      <c r="L676">
        <v>289</v>
      </c>
      <c r="M676">
        <v>12</v>
      </c>
      <c r="N676">
        <v>30</v>
      </c>
      <c r="O676">
        <v>8670</v>
      </c>
      <c r="P676">
        <v>867</v>
      </c>
      <c r="Q676">
        <v>7803</v>
      </c>
      <c r="R676">
        <v>4.3380000000000001</v>
      </c>
      <c r="S676">
        <v>3468</v>
      </c>
      <c r="T676">
        <v>4335</v>
      </c>
    </row>
    <row r="677" spans="1:20" x14ac:dyDescent="0.35">
      <c r="A677" t="s">
        <v>37</v>
      </c>
      <c r="B677" t="s">
        <v>38</v>
      </c>
      <c r="C677" t="s">
        <v>43</v>
      </c>
      <c r="D677" t="s">
        <v>262</v>
      </c>
      <c r="E677" t="s">
        <v>45</v>
      </c>
      <c r="F677" t="s">
        <v>263</v>
      </c>
      <c r="G677" t="s">
        <v>157</v>
      </c>
      <c r="H677" s="1">
        <v>44476</v>
      </c>
      <c r="I677" t="s">
        <v>72</v>
      </c>
      <c r="J677" t="s">
        <v>61</v>
      </c>
      <c r="K677">
        <v>2021</v>
      </c>
      <c r="L677">
        <v>3198</v>
      </c>
      <c r="M677">
        <v>148</v>
      </c>
      <c r="N677">
        <v>11</v>
      </c>
      <c r="O677">
        <v>35178</v>
      </c>
      <c r="P677">
        <v>3517.8</v>
      </c>
      <c r="Q677">
        <v>31660.2</v>
      </c>
      <c r="R677">
        <v>16.7895</v>
      </c>
      <c r="S677">
        <v>473304</v>
      </c>
      <c r="T677">
        <v>-441643.8</v>
      </c>
    </row>
    <row r="678" spans="1:20" x14ac:dyDescent="0.35">
      <c r="A678" t="s">
        <v>20</v>
      </c>
      <c r="B678" t="s">
        <v>38</v>
      </c>
      <c r="C678" t="s">
        <v>102</v>
      </c>
      <c r="D678" t="s">
        <v>286</v>
      </c>
      <c r="E678" t="s">
        <v>104</v>
      </c>
      <c r="F678" t="s">
        <v>260</v>
      </c>
      <c r="G678" t="s">
        <v>157</v>
      </c>
      <c r="H678" s="1">
        <v>44538</v>
      </c>
      <c r="I678" t="s">
        <v>64</v>
      </c>
      <c r="J678" t="s">
        <v>61</v>
      </c>
      <c r="K678">
        <v>2021</v>
      </c>
      <c r="L678">
        <v>695</v>
      </c>
      <c r="M678">
        <v>320</v>
      </c>
      <c r="N678">
        <v>188</v>
      </c>
      <c r="O678">
        <v>130660</v>
      </c>
      <c r="P678">
        <v>13066</v>
      </c>
      <c r="Q678">
        <v>117594</v>
      </c>
      <c r="R678">
        <v>65.137500000000003</v>
      </c>
      <c r="S678">
        <v>222400</v>
      </c>
      <c r="T678">
        <v>-104806</v>
      </c>
    </row>
    <row r="679" spans="1:20" x14ac:dyDescent="0.35">
      <c r="A679" t="s">
        <v>37</v>
      </c>
      <c r="B679" t="s">
        <v>42</v>
      </c>
      <c r="C679" t="s">
        <v>102</v>
      </c>
      <c r="D679" t="s">
        <v>103</v>
      </c>
      <c r="E679" t="s">
        <v>104</v>
      </c>
      <c r="F679" t="s">
        <v>105</v>
      </c>
      <c r="G679" t="s">
        <v>157</v>
      </c>
      <c r="H679" s="1">
        <v>44513</v>
      </c>
      <c r="I679" t="s">
        <v>60</v>
      </c>
      <c r="J679" t="s">
        <v>61</v>
      </c>
      <c r="K679">
        <v>2021</v>
      </c>
      <c r="L679">
        <v>2688</v>
      </c>
      <c r="M679">
        <v>320</v>
      </c>
      <c r="N679">
        <v>525</v>
      </c>
      <c r="O679">
        <v>1411200</v>
      </c>
      <c r="P679">
        <v>141120</v>
      </c>
      <c r="Q679">
        <v>1270080</v>
      </c>
      <c r="R679">
        <v>705.6</v>
      </c>
      <c r="S679">
        <v>860160</v>
      </c>
      <c r="T679">
        <v>409920</v>
      </c>
    </row>
    <row r="680" spans="1:20" x14ac:dyDescent="0.35">
      <c r="A680" t="s">
        <v>53</v>
      </c>
      <c r="B680" t="s">
        <v>65</v>
      </c>
      <c r="C680" t="s">
        <v>102</v>
      </c>
      <c r="D680" t="s">
        <v>287</v>
      </c>
      <c r="E680" t="s">
        <v>104</v>
      </c>
      <c r="F680" t="s">
        <v>120</v>
      </c>
      <c r="G680" t="s">
        <v>157</v>
      </c>
      <c r="H680" s="1">
        <v>44541</v>
      </c>
      <c r="I680" t="s">
        <v>64</v>
      </c>
      <c r="J680" t="s">
        <v>61</v>
      </c>
      <c r="K680">
        <v>2021</v>
      </c>
      <c r="L680">
        <v>1024</v>
      </c>
      <c r="M680">
        <v>320</v>
      </c>
      <c r="N680">
        <v>450</v>
      </c>
      <c r="O680">
        <v>460800</v>
      </c>
      <c r="P680">
        <v>46080</v>
      </c>
      <c r="Q680">
        <v>414720</v>
      </c>
      <c r="R680">
        <v>230.31</v>
      </c>
      <c r="S680">
        <v>327680</v>
      </c>
      <c r="T680">
        <v>87040</v>
      </c>
    </row>
    <row r="681" spans="1:20" x14ac:dyDescent="0.35">
      <c r="A681" t="s">
        <v>29</v>
      </c>
      <c r="B681" t="s">
        <v>38</v>
      </c>
      <c r="C681" t="s">
        <v>31</v>
      </c>
      <c r="D681" t="s">
        <v>199</v>
      </c>
      <c r="E681" t="s">
        <v>33</v>
      </c>
      <c r="F681" t="s">
        <v>200</v>
      </c>
      <c r="G681" t="s">
        <v>157</v>
      </c>
      <c r="H681" s="1">
        <v>44524</v>
      </c>
      <c r="I681" t="s">
        <v>60</v>
      </c>
      <c r="J681" t="s">
        <v>61</v>
      </c>
      <c r="K681">
        <v>2021</v>
      </c>
      <c r="L681">
        <v>2381</v>
      </c>
      <c r="M681">
        <v>12</v>
      </c>
      <c r="N681">
        <v>23</v>
      </c>
      <c r="O681">
        <v>54763</v>
      </c>
      <c r="P681">
        <v>6023.93</v>
      </c>
      <c r="Q681">
        <v>48739.07</v>
      </c>
      <c r="R681">
        <v>26.4864</v>
      </c>
      <c r="S681">
        <v>28572</v>
      </c>
      <c r="T681">
        <v>20167.07</v>
      </c>
    </row>
    <row r="682" spans="1:20" x14ac:dyDescent="0.35">
      <c r="A682" t="s">
        <v>37</v>
      </c>
      <c r="B682" t="s">
        <v>30</v>
      </c>
      <c r="C682" t="s">
        <v>55</v>
      </c>
      <c r="D682" t="s">
        <v>206</v>
      </c>
      <c r="E682" t="s">
        <v>57</v>
      </c>
      <c r="F682" t="s">
        <v>207</v>
      </c>
      <c r="G682" t="s">
        <v>157</v>
      </c>
      <c r="H682" s="1">
        <v>44537</v>
      </c>
      <c r="I682" t="s">
        <v>64</v>
      </c>
      <c r="J682" t="s">
        <v>61</v>
      </c>
      <c r="K682">
        <v>2021</v>
      </c>
      <c r="L682">
        <v>1063</v>
      </c>
      <c r="M682">
        <v>4</v>
      </c>
      <c r="N682">
        <v>525</v>
      </c>
      <c r="O682">
        <v>558075</v>
      </c>
      <c r="P682">
        <v>66969</v>
      </c>
      <c r="Q682">
        <v>491106</v>
      </c>
      <c r="R682">
        <v>272.88799999999998</v>
      </c>
      <c r="S682">
        <v>4252</v>
      </c>
      <c r="T682">
        <v>486854</v>
      </c>
    </row>
    <row r="683" spans="1:20" x14ac:dyDescent="0.35">
      <c r="A683" t="s">
        <v>29</v>
      </c>
      <c r="B683" t="s">
        <v>21</v>
      </c>
      <c r="C683" t="s">
        <v>22</v>
      </c>
      <c r="D683" t="s">
        <v>196</v>
      </c>
      <c r="E683" t="s">
        <v>24</v>
      </c>
      <c r="F683" t="s">
        <v>159</v>
      </c>
      <c r="G683" t="s">
        <v>157</v>
      </c>
      <c r="H683" s="1">
        <v>44502</v>
      </c>
      <c r="I683" t="s">
        <v>60</v>
      </c>
      <c r="J683" t="s">
        <v>61</v>
      </c>
      <c r="K683">
        <v>2021</v>
      </c>
      <c r="L683">
        <v>812</v>
      </c>
      <c r="M683">
        <v>6</v>
      </c>
      <c r="N683">
        <v>23</v>
      </c>
      <c r="O683">
        <v>18676</v>
      </c>
      <c r="P683">
        <v>2241.12</v>
      </c>
      <c r="Q683">
        <v>16434.88</v>
      </c>
      <c r="R683">
        <v>8.936399999999999</v>
      </c>
      <c r="S683">
        <v>4872</v>
      </c>
      <c r="T683">
        <v>11562.880000000001</v>
      </c>
    </row>
    <row r="684" spans="1:20" x14ac:dyDescent="0.35">
      <c r="A684" t="s">
        <v>53</v>
      </c>
      <c r="B684" t="s">
        <v>84</v>
      </c>
      <c r="C684" t="s">
        <v>22</v>
      </c>
      <c r="D684" t="s">
        <v>151</v>
      </c>
      <c r="E684" t="s">
        <v>24</v>
      </c>
      <c r="F684" t="s">
        <v>152</v>
      </c>
      <c r="G684" t="s">
        <v>157</v>
      </c>
      <c r="H684" s="1">
        <v>44533</v>
      </c>
      <c r="I684" t="s">
        <v>64</v>
      </c>
      <c r="J684" t="s">
        <v>61</v>
      </c>
      <c r="K684">
        <v>2021</v>
      </c>
      <c r="L684">
        <v>2128</v>
      </c>
      <c r="M684">
        <v>6</v>
      </c>
      <c r="N684">
        <v>450</v>
      </c>
      <c r="O684">
        <v>957600</v>
      </c>
      <c r="P684">
        <v>114912</v>
      </c>
      <c r="Q684">
        <v>842688</v>
      </c>
      <c r="R684">
        <v>468.072</v>
      </c>
      <c r="S684">
        <v>12768</v>
      </c>
      <c r="T684">
        <v>829920</v>
      </c>
    </row>
    <row r="685" spans="1:20" x14ac:dyDescent="0.35">
      <c r="A685" t="s">
        <v>37</v>
      </c>
      <c r="B685" t="s">
        <v>21</v>
      </c>
      <c r="C685" t="s">
        <v>43</v>
      </c>
      <c r="D685" t="s">
        <v>245</v>
      </c>
      <c r="E685" t="s">
        <v>45</v>
      </c>
      <c r="F685" t="s">
        <v>246</v>
      </c>
      <c r="G685" t="s">
        <v>157</v>
      </c>
      <c r="H685" s="1">
        <v>44549</v>
      </c>
      <c r="I685" t="s">
        <v>64</v>
      </c>
      <c r="J685" t="s">
        <v>61</v>
      </c>
      <c r="K685">
        <v>2021</v>
      </c>
      <c r="L685">
        <v>1183</v>
      </c>
      <c r="M685">
        <v>148</v>
      </c>
      <c r="N685">
        <v>525</v>
      </c>
      <c r="O685">
        <v>621075</v>
      </c>
      <c r="P685">
        <v>74529</v>
      </c>
      <c r="Q685">
        <v>546546</v>
      </c>
      <c r="R685">
        <v>303.68799999999999</v>
      </c>
      <c r="S685">
        <v>175084</v>
      </c>
      <c r="T685">
        <v>371462</v>
      </c>
    </row>
    <row r="686" spans="1:20" x14ac:dyDescent="0.35">
      <c r="A686" t="s">
        <v>37</v>
      </c>
      <c r="B686" t="s">
        <v>42</v>
      </c>
      <c r="C686" t="s">
        <v>43</v>
      </c>
      <c r="D686" t="s">
        <v>87</v>
      </c>
      <c r="E686" t="s">
        <v>45</v>
      </c>
      <c r="F686" t="s">
        <v>88</v>
      </c>
      <c r="G686" t="s">
        <v>157</v>
      </c>
      <c r="H686" s="1">
        <v>44495</v>
      </c>
      <c r="I686" t="s">
        <v>72</v>
      </c>
      <c r="J686" t="s">
        <v>61</v>
      </c>
      <c r="K686">
        <v>2021</v>
      </c>
      <c r="L686">
        <v>1086</v>
      </c>
      <c r="M686">
        <v>148</v>
      </c>
      <c r="N686">
        <v>30</v>
      </c>
      <c r="O686">
        <v>32580</v>
      </c>
      <c r="P686">
        <v>3909.6</v>
      </c>
      <c r="Q686">
        <v>28670.400000000001</v>
      </c>
      <c r="R686">
        <v>15.928000000000001</v>
      </c>
      <c r="S686">
        <v>160728</v>
      </c>
      <c r="T686">
        <v>-132057.60000000001</v>
      </c>
    </row>
    <row r="687" spans="1:20" x14ac:dyDescent="0.35">
      <c r="A687" t="s">
        <v>20</v>
      </c>
      <c r="B687" t="s">
        <v>65</v>
      </c>
      <c r="C687" t="s">
        <v>48</v>
      </c>
      <c r="D687" t="s">
        <v>212</v>
      </c>
      <c r="E687" t="s">
        <v>50</v>
      </c>
      <c r="F687" t="s">
        <v>126</v>
      </c>
      <c r="G687" t="s">
        <v>157</v>
      </c>
      <c r="H687" s="1">
        <v>44552</v>
      </c>
      <c r="I687" t="s">
        <v>64</v>
      </c>
      <c r="J687" t="s">
        <v>61</v>
      </c>
      <c r="K687">
        <v>2021</v>
      </c>
      <c r="L687">
        <v>2864</v>
      </c>
      <c r="M687">
        <v>308</v>
      </c>
      <c r="N687">
        <v>188</v>
      </c>
      <c r="O687">
        <v>538432</v>
      </c>
      <c r="P687">
        <v>64611.839999999997</v>
      </c>
      <c r="Q687">
        <v>473820.16000000003</v>
      </c>
      <c r="R687">
        <v>262.57</v>
      </c>
      <c r="S687">
        <v>882112</v>
      </c>
      <c r="T687">
        <v>-408291.83999999997</v>
      </c>
    </row>
    <row r="688" spans="1:20" x14ac:dyDescent="0.35">
      <c r="A688" t="s">
        <v>37</v>
      </c>
      <c r="B688" t="s">
        <v>54</v>
      </c>
      <c r="C688" t="s">
        <v>22</v>
      </c>
      <c r="D688" t="s">
        <v>214</v>
      </c>
      <c r="E688" t="s">
        <v>24</v>
      </c>
      <c r="F688" t="s">
        <v>215</v>
      </c>
      <c r="G688" t="s">
        <v>157</v>
      </c>
      <c r="H688" s="1">
        <v>44524</v>
      </c>
      <c r="I688" t="s">
        <v>60</v>
      </c>
      <c r="J688" t="s">
        <v>61</v>
      </c>
      <c r="K688">
        <v>2021</v>
      </c>
      <c r="L688">
        <v>1179</v>
      </c>
      <c r="M688">
        <v>6</v>
      </c>
      <c r="N688">
        <v>525</v>
      </c>
      <c r="O688">
        <v>618975</v>
      </c>
      <c r="P688">
        <v>80466.75</v>
      </c>
      <c r="Q688">
        <v>538508.25</v>
      </c>
      <c r="R688">
        <v>299.17124999999999</v>
      </c>
      <c r="S688">
        <v>7074</v>
      </c>
      <c r="T688">
        <v>531434.25</v>
      </c>
    </row>
    <row r="689" spans="1:20" x14ac:dyDescent="0.35">
      <c r="A689" t="s">
        <v>37</v>
      </c>
      <c r="B689" t="s">
        <v>47</v>
      </c>
      <c r="C689" t="s">
        <v>31</v>
      </c>
      <c r="D689" t="s">
        <v>149</v>
      </c>
      <c r="E689" t="s">
        <v>33</v>
      </c>
      <c r="F689" t="s">
        <v>150</v>
      </c>
      <c r="G689" t="s">
        <v>157</v>
      </c>
      <c r="H689" s="1">
        <v>44496</v>
      </c>
      <c r="I689" t="s">
        <v>72</v>
      </c>
      <c r="J689" t="s">
        <v>61</v>
      </c>
      <c r="K689">
        <v>2021</v>
      </c>
      <c r="L689">
        <v>3250</v>
      </c>
      <c r="M689">
        <v>12</v>
      </c>
      <c r="N689">
        <v>30</v>
      </c>
      <c r="O689">
        <v>97500</v>
      </c>
      <c r="P689">
        <v>12675</v>
      </c>
      <c r="Q689">
        <v>84825</v>
      </c>
      <c r="R689">
        <v>47.119199999999999</v>
      </c>
      <c r="S689">
        <v>39000</v>
      </c>
      <c r="T689">
        <v>45825</v>
      </c>
    </row>
    <row r="690" spans="1:20" x14ac:dyDescent="0.35">
      <c r="A690" t="s">
        <v>20</v>
      </c>
      <c r="B690" t="s">
        <v>30</v>
      </c>
      <c r="C690" t="s">
        <v>31</v>
      </c>
      <c r="D690" t="s">
        <v>222</v>
      </c>
      <c r="E690" t="s">
        <v>33</v>
      </c>
      <c r="F690" t="s">
        <v>148</v>
      </c>
      <c r="G690" t="s">
        <v>157</v>
      </c>
      <c r="H690" s="1">
        <v>44493</v>
      </c>
      <c r="I690" t="s">
        <v>72</v>
      </c>
      <c r="J690" t="s">
        <v>61</v>
      </c>
      <c r="K690">
        <v>2021</v>
      </c>
      <c r="L690">
        <v>1900</v>
      </c>
      <c r="M690">
        <v>12</v>
      </c>
      <c r="N690">
        <v>188</v>
      </c>
      <c r="O690">
        <v>357200</v>
      </c>
      <c r="P690">
        <v>46436</v>
      </c>
      <c r="Q690">
        <v>310764</v>
      </c>
      <c r="R690">
        <v>172.15125</v>
      </c>
      <c r="S690">
        <v>22800</v>
      </c>
      <c r="T690">
        <v>287964</v>
      </c>
    </row>
    <row r="691" spans="1:20" x14ac:dyDescent="0.35">
      <c r="A691" t="s">
        <v>37</v>
      </c>
      <c r="B691" t="s">
        <v>38</v>
      </c>
      <c r="C691" t="s">
        <v>31</v>
      </c>
      <c r="D691" t="s">
        <v>117</v>
      </c>
      <c r="E691" t="s">
        <v>33</v>
      </c>
      <c r="F691" t="s">
        <v>118</v>
      </c>
      <c r="G691" t="s">
        <v>157</v>
      </c>
      <c r="H691" s="1">
        <v>44518</v>
      </c>
      <c r="I691" t="s">
        <v>60</v>
      </c>
      <c r="J691" t="s">
        <v>61</v>
      </c>
      <c r="K691">
        <v>2021</v>
      </c>
      <c r="L691">
        <v>3235</v>
      </c>
      <c r="M691">
        <v>12</v>
      </c>
      <c r="N691">
        <v>11</v>
      </c>
      <c r="O691">
        <v>35585</v>
      </c>
      <c r="P691">
        <v>4626.05</v>
      </c>
      <c r="Q691">
        <v>30958.95</v>
      </c>
      <c r="R691">
        <v>16.41864</v>
      </c>
      <c r="S691">
        <v>38820</v>
      </c>
      <c r="T691">
        <v>-7861.0499999999993</v>
      </c>
    </row>
    <row r="692" spans="1:20" x14ac:dyDescent="0.35">
      <c r="A692" t="s">
        <v>79</v>
      </c>
      <c r="B692" t="s">
        <v>84</v>
      </c>
      <c r="C692" t="s">
        <v>31</v>
      </c>
      <c r="D692" t="s">
        <v>197</v>
      </c>
      <c r="E692" t="s">
        <v>33</v>
      </c>
      <c r="F692" t="s">
        <v>198</v>
      </c>
      <c r="G692" t="s">
        <v>157</v>
      </c>
      <c r="H692" s="1">
        <v>44518</v>
      </c>
      <c r="I692" t="s">
        <v>60</v>
      </c>
      <c r="J692" t="s">
        <v>61</v>
      </c>
      <c r="K692">
        <v>2021</v>
      </c>
      <c r="L692">
        <v>1216</v>
      </c>
      <c r="M692">
        <v>12</v>
      </c>
      <c r="N692">
        <v>18</v>
      </c>
      <c r="O692">
        <v>21888</v>
      </c>
      <c r="P692">
        <v>2845.44</v>
      </c>
      <c r="Q692">
        <v>19042.560000000001</v>
      </c>
      <c r="R692">
        <v>10.575719999999999</v>
      </c>
      <c r="S692">
        <v>14592</v>
      </c>
      <c r="T692">
        <v>4450.5600000000013</v>
      </c>
    </row>
    <row r="693" spans="1:20" x14ac:dyDescent="0.35">
      <c r="A693" t="s">
        <v>79</v>
      </c>
      <c r="B693" t="s">
        <v>54</v>
      </c>
      <c r="C693" t="s">
        <v>102</v>
      </c>
      <c r="D693" t="s">
        <v>155</v>
      </c>
      <c r="E693" t="s">
        <v>104</v>
      </c>
      <c r="F693" t="s">
        <v>156</v>
      </c>
      <c r="G693" t="s">
        <v>157</v>
      </c>
      <c r="H693" s="1">
        <v>44530</v>
      </c>
      <c r="I693" t="s">
        <v>60</v>
      </c>
      <c r="J693" t="s">
        <v>61</v>
      </c>
      <c r="K693">
        <v>2021</v>
      </c>
      <c r="L693">
        <v>1672</v>
      </c>
      <c r="M693">
        <v>320</v>
      </c>
      <c r="N693">
        <v>18</v>
      </c>
      <c r="O693">
        <v>30096</v>
      </c>
      <c r="P693">
        <v>4213.4399999999996</v>
      </c>
      <c r="Q693">
        <v>25882.560000000001</v>
      </c>
      <c r="R693">
        <v>14.37576</v>
      </c>
      <c r="S693">
        <v>535040</v>
      </c>
      <c r="T693">
        <v>-509157.44</v>
      </c>
    </row>
    <row r="694" spans="1:20" x14ac:dyDescent="0.35">
      <c r="A694" t="s">
        <v>37</v>
      </c>
      <c r="B694" t="s">
        <v>54</v>
      </c>
      <c r="C694" t="s">
        <v>22</v>
      </c>
      <c r="D694" t="s">
        <v>96</v>
      </c>
      <c r="E694" t="s">
        <v>24</v>
      </c>
      <c r="F694" t="s">
        <v>97</v>
      </c>
      <c r="G694" t="s">
        <v>157</v>
      </c>
      <c r="H694" s="1">
        <v>44477</v>
      </c>
      <c r="I694" t="s">
        <v>72</v>
      </c>
      <c r="J694" t="s">
        <v>61</v>
      </c>
      <c r="K694">
        <v>2021</v>
      </c>
      <c r="L694">
        <v>466</v>
      </c>
      <c r="M694">
        <v>6</v>
      </c>
      <c r="N694">
        <v>11</v>
      </c>
      <c r="O694">
        <v>5126</v>
      </c>
      <c r="P694">
        <v>717.6400000000001</v>
      </c>
      <c r="Q694">
        <v>4408.3599999999997</v>
      </c>
      <c r="R694">
        <v>2.3357600000000001</v>
      </c>
      <c r="S694">
        <v>2796</v>
      </c>
      <c r="T694">
        <v>1612.3599999999997</v>
      </c>
    </row>
    <row r="695" spans="1:20" x14ac:dyDescent="0.35">
      <c r="A695" t="s">
        <v>79</v>
      </c>
      <c r="B695" t="s">
        <v>65</v>
      </c>
      <c r="C695" t="s">
        <v>31</v>
      </c>
      <c r="D695" t="s">
        <v>218</v>
      </c>
      <c r="E695" t="s">
        <v>33</v>
      </c>
      <c r="F695" t="s">
        <v>219</v>
      </c>
      <c r="G695" t="s">
        <v>157</v>
      </c>
      <c r="H695" s="1">
        <v>44526</v>
      </c>
      <c r="I695" t="s">
        <v>60</v>
      </c>
      <c r="J695" t="s">
        <v>61</v>
      </c>
      <c r="K695">
        <v>2021</v>
      </c>
      <c r="L695">
        <v>3497</v>
      </c>
      <c r="M695">
        <v>12</v>
      </c>
      <c r="N695">
        <v>18</v>
      </c>
      <c r="O695">
        <v>62946</v>
      </c>
      <c r="P695">
        <v>8812.44</v>
      </c>
      <c r="Q695">
        <v>54133.56</v>
      </c>
      <c r="R695">
        <v>30.072479999999999</v>
      </c>
      <c r="S695">
        <v>41964</v>
      </c>
      <c r="T695">
        <v>12169.559999999998</v>
      </c>
    </row>
    <row r="696" spans="1:20" x14ac:dyDescent="0.35">
      <c r="A696" t="s">
        <v>20</v>
      </c>
      <c r="B696" t="s">
        <v>84</v>
      </c>
      <c r="C696" t="s">
        <v>43</v>
      </c>
      <c r="D696" t="s">
        <v>85</v>
      </c>
      <c r="E696" t="s">
        <v>45</v>
      </c>
      <c r="F696" t="s">
        <v>86</v>
      </c>
      <c r="G696" t="s">
        <v>157</v>
      </c>
      <c r="H696" s="1">
        <v>44477</v>
      </c>
      <c r="I696" t="s">
        <v>72</v>
      </c>
      <c r="J696" t="s">
        <v>61</v>
      </c>
      <c r="K696">
        <v>2021</v>
      </c>
      <c r="L696">
        <v>1890</v>
      </c>
      <c r="M696">
        <v>148</v>
      </c>
      <c r="N696">
        <v>188</v>
      </c>
      <c r="O696">
        <v>355320</v>
      </c>
      <c r="P696">
        <v>49744.800000000003</v>
      </c>
      <c r="Q696">
        <v>305575.2</v>
      </c>
      <c r="R696">
        <v>169.3125</v>
      </c>
      <c r="S696">
        <v>279720</v>
      </c>
      <c r="T696">
        <v>25855.200000000012</v>
      </c>
    </row>
    <row r="697" spans="1:20" x14ac:dyDescent="0.35">
      <c r="A697" t="s">
        <v>20</v>
      </c>
      <c r="B697" t="s">
        <v>30</v>
      </c>
      <c r="C697" t="s">
        <v>55</v>
      </c>
      <c r="D697" t="s">
        <v>289</v>
      </c>
      <c r="E697" t="s">
        <v>57</v>
      </c>
      <c r="F697" t="s">
        <v>230</v>
      </c>
      <c r="G697" t="s">
        <v>157</v>
      </c>
      <c r="H697" s="1">
        <v>44561</v>
      </c>
      <c r="I697" t="s">
        <v>64</v>
      </c>
      <c r="J697" t="s">
        <v>61</v>
      </c>
      <c r="K697">
        <v>2021</v>
      </c>
      <c r="L697">
        <v>3320</v>
      </c>
      <c r="M697">
        <v>4</v>
      </c>
      <c r="N697">
        <v>188</v>
      </c>
      <c r="O697">
        <v>624160</v>
      </c>
      <c r="P697">
        <v>93624</v>
      </c>
      <c r="Q697">
        <v>530536</v>
      </c>
      <c r="R697">
        <v>293.99374999999998</v>
      </c>
      <c r="S697">
        <v>13280</v>
      </c>
      <c r="T697">
        <v>517256</v>
      </c>
    </row>
    <row r="698" spans="1:20" x14ac:dyDescent="0.35">
      <c r="A698" t="s">
        <v>29</v>
      </c>
      <c r="B698" t="s">
        <v>84</v>
      </c>
      <c r="C698" t="s">
        <v>31</v>
      </c>
      <c r="D698" t="s">
        <v>177</v>
      </c>
      <c r="E698" t="s">
        <v>33</v>
      </c>
      <c r="F698" t="s">
        <v>178</v>
      </c>
      <c r="G698" t="s">
        <v>157</v>
      </c>
      <c r="H698" s="1">
        <v>44479</v>
      </c>
      <c r="I698" t="s">
        <v>72</v>
      </c>
      <c r="J698" t="s">
        <v>61</v>
      </c>
      <c r="K698">
        <v>2021</v>
      </c>
      <c r="L698">
        <v>1937</v>
      </c>
      <c r="M698">
        <v>12</v>
      </c>
      <c r="N698">
        <v>23</v>
      </c>
      <c r="O698">
        <v>44551</v>
      </c>
      <c r="P698">
        <v>6682.65</v>
      </c>
      <c r="Q698">
        <v>37868.35</v>
      </c>
      <c r="R698">
        <v>20.578499999999998</v>
      </c>
      <c r="S698">
        <v>23244</v>
      </c>
      <c r="T698">
        <v>14624.349999999999</v>
      </c>
    </row>
    <row r="699" spans="1:20" x14ac:dyDescent="0.35">
      <c r="A699" t="s">
        <v>29</v>
      </c>
      <c r="B699" t="s">
        <v>84</v>
      </c>
      <c r="C699" t="s">
        <v>31</v>
      </c>
      <c r="D699" t="s">
        <v>177</v>
      </c>
      <c r="E699" t="s">
        <v>33</v>
      </c>
      <c r="F699" t="s">
        <v>178</v>
      </c>
      <c r="G699" t="s">
        <v>157</v>
      </c>
      <c r="H699" s="1">
        <v>44475</v>
      </c>
      <c r="I699" t="s">
        <v>72</v>
      </c>
      <c r="J699" t="s">
        <v>61</v>
      </c>
      <c r="K699">
        <v>2021</v>
      </c>
      <c r="L699">
        <v>3071</v>
      </c>
      <c r="M699">
        <v>12</v>
      </c>
      <c r="N699">
        <v>23</v>
      </c>
      <c r="O699">
        <v>70633</v>
      </c>
      <c r="P699">
        <v>10594.949999999999</v>
      </c>
      <c r="Q699">
        <v>60038.05</v>
      </c>
      <c r="R699">
        <v>32.627249999999997</v>
      </c>
      <c r="S699">
        <v>36852</v>
      </c>
      <c r="T699">
        <v>23186.050000000003</v>
      </c>
    </row>
    <row r="700" spans="1:20" x14ac:dyDescent="0.35">
      <c r="A700" t="s">
        <v>29</v>
      </c>
      <c r="B700" t="s">
        <v>84</v>
      </c>
      <c r="C700" t="s">
        <v>43</v>
      </c>
      <c r="D700" t="s">
        <v>280</v>
      </c>
      <c r="E700" t="s">
        <v>45</v>
      </c>
      <c r="F700" t="s">
        <v>281</v>
      </c>
      <c r="G700" t="s">
        <v>157</v>
      </c>
      <c r="H700" s="1">
        <v>44513</v>
      </c>
      <c r="I700" t="s">
        <v>60</v>
      </c>
      <c r="J700" t="s">
        <v>61</v>
      </c>
      <c r="K700">
        <v>2021</v>
      </c>
      <c r="L700">
        <v>3391</v>
      </c>
      <c r="M700">
        <v>148</v>
      </c>
      <c r="N700">
        <v>23</v>
      </c>
      <c r="O700">
        <v>77993</v>
      </c>
      <c r="P700">
        <v>11698.949999999999</v>
      </c>
      <c r="Q700">
        <v>66294.05</v>
      </c>
      <c r="R700">
        <v>36.031500000000001</v>
      </c>
      <c r="S700">
        <v>501868</v>
      </c>
      <c r="T700">
        <v>-435573.95</v>
      </c>
    </row>
    <row r="701" spans="1:20" x14ac:dyDescent="0.35">
      <c r="A701" t="s">
        <v>20</v>
      </c>
      <c r="B701" t="s">
        <v>30</v>
      </c>
      <c r="C701" t="s">
        <v>48</v>
      </c>
      <c r="D701" t="s">
        <v>229</v>
      </c>
      <c r="E701" t="s">
        <v>50</v>
      </c>
      <c r="F701" t="s">
        <v>230</v>
      </c>
      <c r="G701" t="s">
        <v>157</v>
      </c>
      <c r="H701" s="1">
        <v>44557</v>
      </c>
      <c r="I701" t="s">
        <v>64</v>
      </c>
      <c r="J701" t="s">
        <v>61</v>
      </c>
      <c r="K701">
        <v>2021</v>
      </c>
      <c r="L701">
        <v>662</v>
      </c>
      <c r="M701">
        <v>308</v>
      </c>
      <c r="N701">
        <v>188</v>
      </c>
      <c r="O701">
        <v>124456</v>
      </c>
      <c r="P701">
        <v>18668.399999999998</v>
      </c>
      <c r="Q701">
        <v>105787.6</v>
      </c>
      <c r="R701">
        <v>58.65</v>
      </c>
      <c r="S701">
        <v>203896</v>
      </c>
      <c r="T701">
        <v>-98108.4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33D97-4326-4553-BF96-8C54BF2CBEC5}">
  <sheetPr codeName="Sheet2"/>
  <dimension ref="A1:X64"/>
  <sheetViews>
    <sheetView topLeftCell="D1" workbookViewId="0">
      <selection activeCell="AF20" sqref="AF20"/>
    </sheetView>
  </sheetViews>
  <sheetFormatPr defaultRowHeight="14.5" x14ac:dyDescent="0.35"/>
  <cols>
    <col min="1" max="1" width="15.1796875" bestFit="1" customWidth="1"/>
    <col min="2" max="3" width="14.81640625" bestFit="1" customWidth="1"/>
    <col min="4" max="4" width="12.36328125" bestFit="1" customWidth="1"/>
    <col min="5" max="5" width="14.81640625" bestFit="1" customWidth="1"/>
    <col min="7" max="7" width="12.54296875" bestFit="1" customWidth="1"/>
    <col min="8" max="8" width="15.54296875" bestFit="1" customWidth="1"/>
    <col min="9" max="9" width="18.36328125" customWidth="1"/>
    <col min="10" max="10" width="12.36328125" bestFit="1" customWidth="1"/>
    <col min="11" max="11" width="15.08984375" bestFit="1" customWidth="1"/>
    <col min="12" max="12" width="10.08984375" customWidth="1"/>
    <col min="13" max="15" width="15.08984375" customWidth="1"/>
    <col min="17" max="17" width="12.36328125" bestFit="1" customWidth="1"/>
    <col min="18" max="18" width="15.08984375" bestFit="1" customWidth="1"/>
    <col min="20" max="20" width="12.36328125" bestFit="1" customWidth="1"/>
    <col min="21" max="21" width="15.08984375" bestFit="1" customWidth="1"/>
    <col min="23" max="23" width="12.90625" bestFit="1" customWidth="1"/>
    <col min="24" max="24" width="14.81640625" bestFit="1" customWidth="1"/>
  </cols>
  <sheetData>
    <row r="1" spans="1:24" x14ac:dyDescent="0.35">
      <c r="A1" s="8" t="s">
        <v>323</v>
      </c>
    </row>
    <row r="2" spans="1:24" x14ac:dyDescent="0.35">
      <c r="A2" s="8" t="s">
        <v>332</v>
      </c>
      <c r="D2" s="8" t="s">
        <v>333</v>
      </c>
      <c r="G2" s="8" t="s">
        <v>334</v>
      </c>
      <c r="J2" s="8" t="s">
        <v>335</v>
      </c>
      <c r="Q2" s="8" t="s">
        <v>313</v>
      </c>
      <c r="T2" s="8" t="s">
        <v>314</v>
      </c>
      <c r="W2" s="8" t="s">
        <v>312</v>
      </c>
    </row>
    <row r="3" spans="1:24" x14ac:dyDescent="0.35">
      <c r="A3" s="4" t="s">
        <v>309</v>
      </c>
      <c r="B3" t="s">
        <v>311</v>
      </c>
      <c r="D3" s="4" t="s">
        <v>309</v>
      </c>
      <c r="E3" t="s">
        <v>311</v>
      </c>
      <c r="G3" s="4" t="s">
        <v>309</v>
      </c>
      <c r="H3" t="s">
        <v>311</v>
      </c>
      <c r="J3" s="4" t="s">
        <v>309</v>
      </c>
      <c r="K3" t="s">
        <v>311</v>
      </c>
      <c r="L3" s="16" t="s">
        <v>8</v>
      </c>
      <c r="M3" s="16" t="s">
        <v>326</v>
      </c>
      <c r="N3" s="16" t="s">
        <v>325</v>
      </c>
      <c r="O3" s="16" t="s">
        <v>327</v>
      </c>
      <c r="Q3" s="4" t="s">
        <v>309</v>
      </c>
      <c r="R3" t="s">
        <v>311</v>
      </c>
      <c r="T3" s="4" t="s">
        <v>309</v>
      </c>
      <c r="U3" t="s">
        <v>311</v>
      </c>
      <c r="W3" s="4" t="s">
        <v>309</v>
      </c>
      <c r="X3" t="s">
        <v>311</v>
      </c>
    </row>
    <row r="4" spans="1:24" x14ac:dyDescent="0.35">
      <c r="A4" s="5" t="s">
        <v>37</v>
      </c>
      <c r="B4" s="13">
        <v>45753640.510000013</v>
      </c>
      <c r="D4" s="5" t="s">
        <v>30</v>
      </c>
      <c r="E4" s="13">
        <v>9963640.8200000059</v>
      </c>
      <c r="G4" s="5" t="s">
        <v>31</v>
      </c>
      <c r="H4" s="7">
        <v>34272108.960000008</v>
      </c>
      <c r="J4" s="5" t="s">
        <v>35</v>
      </c>
      <c r="K4" s="7">
        <v>8187746.4500000002</v>
      </c>
      <c r="L4" s="7" t="str">
        <f t="shared" ref="L4:L15" si="0">J4</f>
        <v>Jan</v>
      </c>
      <c r="M4" s="7">
        <f t="shared" ref="M4:M15" si="1">K4</f>
        <v>8187746.4500000002</v>
      </c>
      <c r="N4" s="7">
        <f>Budget!A2</f>
        <v>18300907.829999998</v>
      </c>
      <c r="O4" s="9">
        <f>M4/N4-1</f>
        <v>-0.55260435569332078</v>
      </c>
      <c r="Q4" s="5" t="s">
        <v>36</v>
      </c>
      <c r="R4" s="7">
        <v>24298159.350000001</v>
      </c>
      <c r="T4" s="5" t="s">
        <v>36</v>
      </c>
      <c r="U4" s="7">
        <v>24298159.350000001</v>
      </c>
      <c r="W4" s="5" t="s">
        <v>221</v>
      </c>
      <c r="X4" s="7">
        <v>2627676</v>
      </c>
    </row>
    <row r="5" spans="1:24" x14ac:dyDescent="0.35">
      <c r="A5" s="5" t="s">
        <v>53</v>
      </c>
      <c r="B5" s="13">
        <v>31978269</v>
      </c>
      <c r="D5" s="5" t="s">
        <v>54</v>
      </c>
      <c r="E5" s="13">
        <v>14410517.529999999</v>
      </c>
      <c r="G5" s="5" t="s">
        <v>55</v>
      </c>
      <c r="H5" s="7">
        <v>14644624.900000004</v>
      </c>
      <c r="J5" s="5" t="s">
        <v>52</v>
      </c>
      <c r="K5" s="7">
        <v>7088801.4000000004</v>
      </c>
      <c r="L5" s="7" t="str">
        <f t="shared" si="0"/>
        <v>Feb</v>
      </c>
      <c r="M5" s="7">
        <f t="shared" si="1"/>
        <v>7088801.4000000004</v>
      </c>
      <c r="N5" s="7">
        <f>Budget!A3</f>
        <v>23544302.829999998</v>
      </c>
      <c r="O5" s="9">
        <f t="shared" ref="O5:O16" si="2">M5/N5-1</f>
        <v>-0.69891648730547695</v>
      </c>
      <c r="Q5" s="5" t="s">
        <v>78</v>
      </c>
      <c r="R5" s="7">
        <v>22896849.580000002</v>
      </c>
      <c r="T5" s="5" t="s">
        <v>78</v>
      </c>
      <c r="U5" s="7">
        <v>22896849.580000002</v>
      </c>
      <c r="W5" s="5" t="s">
        <v>95</v>
      </c>
      <c r="X5" s="7">
        <v>3370450.74</v>
      </c>
    </row>
    <row r="6" spans="1:24" x14ac:dyDescent="0.35">
      <c r="A6" s="5" t="s">
        <v>20</v>
      </c>
      <c r="B6" s="13">
        <v>19463260.240000006</v>
      </c>
      <c r="D6" s="5" t="s">
        <v>38</v>
      </c>
      <c r="E6" s="13">
        <v>18298830.020000003</v>
      </c>
      <c r="G6" s="5" t="s">
        <v>43</v>
      </c>
      <c r="H6" s="7">
        <v>10282417.290000003</v>
      </c>
      <c r="J6" s="5" t="s">
        <v>109</v>
      </c>
      <c r="K6" s="7">
        <v>9021611.4999999981</v>
      </c>
      <c r="L6" s="7" t="str">
        <f t="shared" si="0"/>
        <v>Mar</v>
      </c>
      <c r="M6" s="7">
        <f t="shared" si="1"/>
        <v>9021611.4999999981</v>
      </c>
      <c r="N6" s="7">
        <f>Budget!A4</f>
        <v>21303973.829999998</v>
      </c>
      <c r="O6" s="9">
        <f t="shared" si="2"/>
        <v>-0.57652916906535645</v>
      </c>
      <c r="Q6" s="5" t="s">
        <v>28</v>
      </c>
      <c r="R6" s="7">
        <v>30173315.540000003</v>
      </c>
      <c r="T6" s="5" t="s">
        <v>28</v>
      </c>
      <c r="U6" s="7">
        <v>30173315.540000003</v>
      </c>
      <c r="W6" s="5" t="s">
        <v>207</v>
      </c>
      <c r="X6" s="7">
        <v>2501107.25</v>
      </c>
    </row>
    <row r="7" spans="1:24" x14ac:dyDescent="0.35">
      <c r="A7" s="5" t="s">
        <v>29</v>
      </c>
      <c r="B7" s="13">
        <v>2397634.31</v>
      </c>
      <c r="D7" s="5" t="s">
        <v>65</v>
      </c>
      <c r="E7" s="13">
        <v>16232768.580000002</v>
      </c>
      <c r="G7" s="5" t="s">
        <v>48</v>
      </c>
      <c r="H7" s="7">
        <v>17196950.890000001</v>
      </c>
      <c r="J7" s="5" t="s">
        <v>112</v>
      </c>
      <c r="K7" s="7">
        <v>9150553.8300000019</v>
      </c>
      <c r="L7" s="7" t="str">
        <f t="shared" si="0"/>
        <v>Apr</v>
      </c>
      <c r="M7" s="7">
        <f t="shared" si="1"/>
        <v>9150553.8300000019</v>
      </c>
      <c r="N7" s="7">
        <f>Budget!A5</f>
        <v>10611141.83</v>
      </c>
      <c r="O7" s="9">
        <f t="shared" si="2"/>
        <v>-0.13764663816580036</v>
      </c>
      <c r="Q7" s="5" t="s">
        <v>61</v>
      </c>
      <c r="R7" s="7">
        <v>23845904.470000003</v>
      </c>
      <c r="T7" s="5" t="s">
        <v>61</v>
      </c>
      <c r="U7" s="7">
        <v>23845904.470000003</v>
      </c>
      <c r="W7" s="5" t="s">
        <v>132</v>
      </c>
      <c r="X7" s="7">
        <v>2727158.1899999995</v>
      </c>
    </row>
    <row r="8" spans="1:24" x14ac:dyDescent="0.35">
      <c r="A8" s="5" t="s">
        <v>79</v>
      </c>
      <c r="B8" s="13">
        <v>1621424.8800000013</v>
      </c>
      <c r="D8" s="5" t="s">
        <v>42</v>
      </c>
      <c r="E8" s="13">
        <v>9656022.1999999974</v>
      </c>
      <c r="G8" s="5" t="s">
        <v>22</v>
      </c>
      <c r="H8" s="7">
        <v>12710858.140000001</v>
      </c>
      <c r="J8" s="5" t="s">
        <v>77</v>
      </c>
      <c r="K8" s="7">
        <v>7541932.6899999995</v>
      </c>
      <c r="L8" s="7" t="str">
        <f t="shared" si="0"/>
        <v>May</v>
      </c>
      <c r="M8" s="7">
        <f t="shared" si="1"/>
        <v>7541932.6899999995</v>
      </c>
      <c r="N8" s="7">
        <f>Budget!A6</f>
        <v>14661450.829999998</v>
      </c>
      <c r="O8" s="9">
        <f t="shared" si="2"/>
        <v>-0.48559438097573315</v>
      </c>
      <c r="Q8" s="5" t="s">
        <v>310</v>
      </c>
      <c r="R8" s="7">
        <v>101214228.94000001</v>
      </c>
      <c r="T8" s="5" t="s">
        <v>310</v>
      </c>
      <c r="U8" s="7">
        <v>101214228.94000001</v>
      </c>
      <c r="W8" s="5" t="s">
        <v>126</v>
      </c>
      <c r="X8" s="7">
        <v>6835464.3300000001</v>
      </c>
    </row>
    <row r="9" spans="1:24" x14ac:dyDescent="0.35">
      <c r="A9" s="5" t="s">
        <v>310</v>
      </c>
      <c r="B9" s="13">
        <v>101214228.94000003</v>
      </c>
      <c r="D9" s="5" t="s">
        <v>84</v>
      </c>
      <c r="E9" s="13">
        <v>11552162.890000001</v>
      </c>
      <c r="G9" s="5" t="s">
        <v>102</v>
      </c>
      <c r="H9" s="7">
        <v>12107268.76</v>
      </c>
      <c r="J9" s="5" t="s">
        <v>144</v>
      </c>
      <c r="K9" s="7">
        <v>6204363.0599999987</v>
      </c>
      <c r="L9" s="7" t="str">
        <f t="shared" si="0"/>
        <v>Jun</v>
      </c>
      <c r="M9" s="7">
        <f t="shared" si="1"/>
        <v>6204363.0599999987</v>
      </c>
      <c r="N9" s="7">
        <f>Budget!A7</f>
        <v>22614103.829999998</v>
      </c>
      <c r="O9" s="9">
        <f t="shared" si="2"/>
        <v>-0.7256418778899717</v>
      </c>
      <c r="W9" s="5" t="s">
        <v>114</v>
      </c>
      <c r="X9" s="7">
        <v>2495589.2999999998</v>
      </c>
    </row>
    <row r="10" spans="1:24" x14ac:dyDescent="0.35">
      <c r="D10" s="5" t="s">
        <v>47</v>
      </c>
      <c r="E10" s="13">
        <v>10634337.130000001</v>
      </c>
      <c r="G10" s="5" t="s">
        <v>310</v>
      </c>
      <c r="H10" s="7">
        <v>101214228.94000003</v>
      </c>
      <c r="J10" s="5" t="s">
        <v>89</v>
      </c>
      <c r="K10" s="7">
        <v>13467148.75</v>
      </c>
      <c r="L10" s="7" t="str">
        <f t="shared" si="0"/>
        <v>Jul</v>
      </c>
      <c r="M10" s="7">
        <f t="shared" si="1"/>
        <v>13467148.75</v>
      </c>
      <c r="N10" s="7">
        <f>Budget!A8</f>
        <v>18334866.829999998</v>
      </c>
      <c r="O10" s="9">
        <f t="shared" si="2"/>
        <v>-0.26548968831534181</v>
      </c>
      <c r="W10" s="5" t="s">
        <v>63</v>
      </c>
      <c r="X10" s="7">
        <v>2565634.5</v>
      </c>
    </row>
    <row r="11" spans="1:24" x14ac:dyDescent="0.35">
      <c r="D11" s="5" t="s">
        <v>21</v>
      </c>
      <c r="E11" s="13">
        <v>10465949.770000001</v>
      </c>
      <c r="J11" s="5" t="s">
        <v>41</v>
      </c>
      <c r="K11" s="7">
        <v>8964255.0500000026</v>
      </c>
      <c r="L11" s="7" t="str">
        <f t="shared" si="0"/>
        <v>Aug</v>
      </c>
      <c r="M11" s="7">
        <f t="shared" si="1"/>
        <v>8964255.0500000026</v>
      </c>
      <c r="N11" s="7">
        <f>Budget!A9</f>
        <v>20514112.829999998</v>
      </c>
      <c r="O11" s="9">
        <f t="shared" si="2"/>
        <v>-0.56302009624853944</v>
      </c>
      <c r="W11" s="5" t="s">
        <v>148</v>
      </c>
      <c r="X11" s="7">
        <v>2417610.12</v>
      </c>
    </row>
    <row r="12" spans="1:24" x14ac:dyDescent="0.35">
      <c r="D12" s="5" t="s">
        <v>310</v>
      </c>
      <c r="E12" s="13">
        <v>101214228.94</v>
      </c>
      <c r="J12" s="5" t="s">
        <v>27</v>
      </c>
      <c r="K12" s="7">
        <v>7741911.7399999984</v>
      </c>
      <c r="L12" s="7" t="str">
        <f t="shared" si="0"/>
        <v>Sep</v>
      </c>
      <c r="M12" s="7">
        <f t="shared" si="1"/>
        <v>7741911.7399999984</v>
      </c>
      <c r="N12" s="7">
        <f>Budget!A10</f>
        <v>20199829.829999998</v>
      </c>
      <c r="O12" s="9">
        <f t="shared" si="2"/>
        <v>-0.61673381384124271</v>
      </c>
      <c r="W12" s="5" t="s">
        <v>242</v>
      </c>
      <c r="X12" s="7">
        <v>3306789</v>
      </c>
    </row>
    <row r="13" spans="1:24" x14ac:dyDescent="0.35">
      <c r="J13" s="5" t="s">
        <v>72</v>
      </c>
      <c r="K13" s="7">
        <v>7036913.04</v>
      </c>
      <c r="L13" s="7" t="str">
        <f t="shared" si="0"/>
        <v>Oct</v>
      </c>
      <c r="M13" s="7">
        <f t="shared" si="1"/>
        <v>7036913.04</v>
      </c>
      <c r="N13" s="7">
        <f>Budget!A11</f>
        <v>12194029.83</v>
      </c>
      <c r="O13" s="9">
        <f t="shared" si="2"/>
        <v>-0.4229214510622531</v>
      </c>
      <c r="W13" s="5" t="s">
        <v>40</v>
      </c>
      <c r="X13" s="7">
        <v>6951633.4699999997</v>
      </c>
    </row>
    <row r="14" spans="1:24" x14ac:dyDescent="0.35">
      <c r="J14" s="5" t="s">
        <v>60</v>
      </c>
      <c r="K14" s="7">
        <v>6343311.7199999988</v>
      </c>
      <c r="L14" s="7" t="str">
        <f t="shared" si="0"/>
        <v>Nov</v>
      </c>
      <c r="M14" s="7">
        <f t="shared" si="1"/>
        <v>6343311.7199999988</v>
      </c>
      <c r="N14" s="7">
        <f>Budget!A12</f>
        <v>12337190.83</v>
      </c>
      <c r="O14" s="9">
        <f t="shared" si="2"/>
        <v>-0.48583824248100738</v>
      </c>
      <c r="W14" s="5" t="s">
        <v>310</v>
      </c>
      <c r="X14" s="7">
        <v>35799112.899999999</v>
      </c>
    </row>
    <row r="15" spans="1:24" x14ac:dyDescent="0.35">
      <c r="J15" s="5" t="s">
        <v>64</v>
      </c>
      <c r="K15" s="7">
        <v>10465679.710000003</v>
      </c>
      <c r="L15" s="7" t="str">
        <f t="shared" si="0"/>
        <v>Dec</v>
      </c>
      <c r="M15" s="7">
        <f t="shared" si="1"/>
        <v>10465679.710000003</v>
      </c>
      <c r="N15" s="7">
        <f>Budget!A13</f>
        <v>15522498.83</v>
      </c>
      <c r="O15" s="9">
        <f t="shared" si="2"/>
        <v>-0.32577352238073887</v>
      </c>
    </row>
    <row r="16" spans="1:24" x14ac:dyDescent="0.35">
      <c r="J16" s="5" t="s">
        <v>310</v>
      </c>
      <c r="K16" s="7">
        <v>101214228.94000001</v>
      </c>
      <c r="L16" s="7"/>
      <c r="M16" s="7">
        <f>K16</f>
        <v>101214228.94000001</v>
      </c>
      <c r="N16" s="7">
        <f>Budget!A14</f>
        <v>210138409.96000001</v>
      </c>
      <c r="O16" s="9">
        <f t="shared" si="2"/>
        <v>-0.518344937704315</v>
      </c>
    </row>
    <row r="20" spans="1:12" x14ac:dyDescent="0.35">
      <c r="A20" s="8" t="s">
        <v>19</v>
      </c>
    </row>
    <row r="22" spans="1:12" x14ac:dyDescent="0.35">
      <c r="A22" s="8" t="s">
        <v>315</v>
      </c>
      <c r="D22" s="8" t="s">
        <v>317</v>
      </c>
      <c r="G22" s="8" t="s">
        <v>317</v>
      </c>
    </row>
    <row r="23" spans="1:12" x14ac:dyDescent="0.35">
      <c r="A23" s="4" t="s">
        <v>309</v>
      </c>
      <c r="B23" t="s">
        <v>316</v>
      </c>
      <c r="D23" s="4" t="s">
        <v>309</v>
      </c>
      <c r="E23" t="s">
        <v>316</v>
      </c>
      <c r="G23" s="4" t="s">
        <v>309</v>
      </c>
      <c r="H23" t="s">
        <v>316</v>
      </c>
    </row>
    <row r="24" spans="1:12" x14ac:dyDescent="0.35">
      <c r="A24" s="5" t="s">
        <v>79</v>
      </c>
      <c r="B24" s="7">
        <v>-11362113.120000001</v>
      </c>
      <c r="D24" s="5" t="s">
        <v>30</v>
      </c>
      <c r="E24" s="7">
        <v>2819972.8199999994</v>
      </c>
      <c r="G24" s="5" t="s">
        <v>31</v>
      </c>
      <c r="H24" s="7">
        <v>31694508.960000008</v>
      </c>
      <c r="I24" s="7">
        <f>H24</f>
        <v>31694508.960000008</v>
      </c>
      <c r="J24" s="11">
        <f t="shared" ref="J24:J29" si="3">SUM(I24)/SUM($I$24:$I$29)</f>
        <v>1.1244033298273612</v>
      </c>
      <c r="L24" s="9">
        <v>0.96829622629427248</v>
      </c>
    </row>
    <row r="25" spans="1:12" x14ac:dyDescent="0.35">
      <c r="A25" s="5" t="s">
        <v>20</v>
      </c>
      <c r="B25" s="7">
        <v>7649830.2400000002</v>
      </c>
      <c r="D25" s="5" t="s">
        <v>54</v>
      </c>
      <c r="E25" s="7">
        <v>4547249.5299999993</v>
      </c>
      <c r="G25" s="5" t="s">
        <v>55</v>
      </c>
      <c r="H25" s="7">
        <v>14265584.900000002</v>
      </c>
      <c r="I25" s="7">
        <f t="shared" ref="I25:I30" si="4">H25</f>
        <v>14265584.900000002</v>
      </c>
      <c r="J25" s="11">
        <f t="shared" si="3"/>
        <v>0.50608990925647468</v>
      </c>
      <c r="L25" s="9">
        <v>0.42888453282681682</v>
      </c>
    </row>
    <row r="26" spans="1:12" x14ac:dyDescent="0.35">
      <c r="A26" s="5" t="s">
        <v>37</v>
      </c>
      <c r="B26" s="7">
        <v>20150198.510000013</v>
      </c>
      <c r="D26" s="5" t="s">
        <v>38</v>
      </c>
      <c r="E26" s="7">
        <v>14906566.020000001</v>
      </c>
      <c r="G26" s="5" t="s">
        <v>43</v>
      </c>
      <c r="H26" s="7">
        <v>-2020822.7100000002</v>
      </c>
      <c r="I26" s="7">
        <f t="shared" si="4"/>
        <v>-2020822.7100000002</v>
      </c>
      <c r="J26" s="11">
        <f t="shared" si="3"/>
        <v>-7.1691275828958345E-2</v>
      </c>
      <c r="L26" s="9">
        <v>7.1638365555444047E-2</v>
      </c>
    </row>
    <row r="27" spans="1:12" x14ac:dyDescent="0.35">
      <c r="A27" s="5" t="s">
        <v>29</v>
      </c>
      <c r="B27" s="7">
        <v>-11715423.689999998</v>
      </c>
      <c r="D27" s="5" t="s">
        <v>65</v>
      </c>
      <c r="E27" s="7">
        <v>9993362.5800000019</v>
      </c>
      <c r="G27" s="5" t="s">
        <v>48</v>
      </c>
      <c r="H27" s="7">
        <v>-12891877.109999998</v>
      </c>
      <c r="I27" s="7">
        <f t="shared" si="4"/>
        <v>-12891877.109999998</v>
      </c>
      <c r="J27" s="11">
        <f t="shared" si="3"/>
        <v>-0.45735586465476924</v>
      </c>
      <c r="L27" s="9">
        <v>-0.45058198024042906</v>
      </c>
    </row>
    <row r="28" spans="1:12" x14ac:dyDescent="0.35">
      <c r="A28" s="5" t="s">
        <v>53</v>
      </c>
      <c r="B28" s="7">
        <v>23465355</v>
      </c>
      <c r="D28" s="5" t="s">
        <v>42</v>
      </c>
      <c r="E28" s="7">
        <v>-5118533.8000000007</v>
      </c>
      <c r="G28" s="5" t="s">
        <v>22</v>
      </c>
      <c r="H28" s="7">
        <v>12207584.140000001</v>
      </c>
      <c r="I28" s="7">
        <f t="shared" si="4"/>
        <v>12207584.140000001</v>
      </c>
      <c r="J28" s="11">
        <f t="shared" si="3"/>
        <v>0.43307969445076017</v>
      </c>
      <c r="L28" s="9">
        <v>0.47197619499093685</v>
      </c>
    </row>
    <row r="29" spans="1:12" x14ac:dyDescent="0.35">
      <c r="A29" s="5" t="s">
        <v>310</v>
      </c>
      <c r="B29" s="7">
        <v>28187846.940000013</v>
      </c>
      <c r="D29" s="5" t="s">
        <v>84</v>
      </c>
      <c r="E29" s="7">
        <v>2327232.8899999997</v>
      </c>
      <c r="G29" s="5" t="s">
        <v>102</v>
      </c>
      <c r="H29" s="7">
        <v>-15067131.240000002</v>
      </c>
      <c r="I29" s="7">
        <f t="shared" si="4"/>
        <v>-15067131.240000002</v>
      </c>
      <c r="J29" s="11">
        <f t="shared" si="3"/>
        <v>-0.53452579305086845</v>
      </c>
      <c r="L29" s="9">
        <v>-0.49021333942704115</v>
      </c>
    </row>
    <row r="30" spans="1:12" x14ac:dyDescent="0.35">
      <c r="D30" s="5" t="s">
        <v>47</v>
      </c>
      <c r="E30" s="7">
        <v>1895275.1300000004</v>
      </c>
      <c r="G30" s="5" t="s">
        <v>310</v>
      </c>
      <c r="H30" s="7">
        <v>28187846.940000013</v>
      </c>
      <c r="I30" s="7">
        <f t="shared" si="4"/>
        <v>28187846.940000013</v>
      </c>
      <c r="L30" s="10"/>
    </row>
    <row r="31" spans="1:12" x14ac:dyDescent="0.35">
      <c r="D31" s="5" t="s">
        <v>21</v>
      </c>
      <c r="E31" s="7">
        <v>-3183278.2299999995</v>
      </c>
      <c r="L31" s="11"/>
    </row>
    <row r="32" spans="1:12" x14ac:dyDescent="0.35">
      <c r="D32" s="5" t="s">
        <v>310</v>
      </c>
      <c r="E32" s="7">
        <v>28187846.940000001</v>
      </c>
    </row>
    <row r="36" spans="1:8" x14ac:dyDescent="0.35">
      <c r="A36" s="8" t="s">
        <v>318</v>
      </c>
    </row>
    <row r="38" spans="1:8" x14ac:dyDescent="0.35">
      <c r="A38" s="8" t="s">
        <v>319</v>
      </c>
      <c r="D38" s="8" t="s">
        <v>320</v>
      </c>
      <c r="G38" s="8" t="s">
        <v>336</v>
      </c>
    </row>
    <row r="39" spans="1:8" x14ac:dyDescent="0.35">
      <c r="A39" s="4" t="s">
        <v>309</v>
      </c>
      <c r="B39" t="s">
        <v>322</v>
      </c>
      <c r="D39" s="4" t="s">
        <v>309</v>
      </c>
      <c r="E39" t="s">
        <v>322</v>
      </c>
      <c r="G39" s="4" t="s">
        <v>309</v>
      </c>
      <c r="H39" t="s">
        <v>322</v>
      </c>
    </row>
    <row r="40" spans="1:8" x14ac:dyDescent="0.35">
      <c r="A40" s="5" t="s">
        <v>79</v>
      </c>
      <c r="B40" s="14">
        <v>97127</v>
      </c>
      <c r="D40" s="5" t="s">
        <v>30</v>
      </c>
      <c r="E40" s="7">
        <v>164484</v>
      </c>
      <c r="G40" s="5" t="s">
        <v>43</v>
      </c>
      <c r="H40" s="7">
        <v>83130</v>
      </c>
    </row>
    <row r="41" spans="1:8" x14ac:dyDescent="0.35">
      <c r="A41" s="5" t="s">
        <v>20</v>
      </c>
      <c r="B41" s="14">
        <v>112179</v>
      </c>
      <c r="D41" s="5" t="s">
        <v>54</v>
      </c>
      <c r="E41" s="7">
        <v>190729</v>
      </c>
      <c r="G41" s="5" t="s">
        <v>22</v>
      </c>
      <c r="H41" s="7">
        <v>83879</v>
      </c>
    </row>
    <row r="42" spans="1:8" x14ac:dyDescent="0.35">
      <c r="A42" s="5" t="s">
        <v>37</v>
      </c>
      <c r="B42" s="14">
        <v>260035</v>
      </c>
      <c r="D42" s="5" t="s">
        <v>38</v>
      </c>
      <c r="E42" s="7">
        <v>199525</v>
      </c>
      <c r="G42" s="5" t="s">
        <v>102</v>
      </c>
      <c r="H42" s="7">
        <v>84920</v>
      </c>
    </row>
    <row r="43" spans="1:8" x14ac:dyDescent="0.35">
      <c r="A43" s="5" t="s">
        <v>29</v>
      </c>
      <c r="B43" s="14">
        <v>113394</v>
      </c>
      <c r="D43" s="5" t="s">
        <v>65</v>
      </c>
      <c r="E43" s="7">
        <v>132630</v>
      </c>
      <c r="G43" s="5" t="s">
        <v>55</v>
      </c>
      <c r="H43" s="7">
        <v>94760</v>
      </c>
    </row>
    <row r="44" spans="1:8" x14ac:dyDescent="0.35">
      <c r="A44" s="5" t="s">
        <v>53</v>
      </c>
      <c r="B44" s="14">
        <v>76445</v>
      </c>
      <c r="D44" s="5" t="s">
        <v>42</v>
      </c>
      <c r="E44" s="7">
        <v>143570</v>
      </c>
      <c r="G44" s="5" t="s">
        <v>48</v>
      </c>
      <c r="H44" s="7">
        <v>97691</v>
      </c>
    </row>
    <row r="45" spans="1:8" x14ac:dyDescent="0.35">
      <c r="A45" s="5" t="s">
        <v>310</v>
      </c>
      <c r="B45" s="14">
        <v>659180</v>
      </c>
      <c r="D45" s="5" t="s">
        <v>84</v>
      </c>
      <c r="E45" s="7">
        <v>144187</v>
      </c>
      <c r="G45" s="5" t="s">
        <v>31</v>
      </c>
      <c r="H45" s="7">
        <v>214800</v>
      </c>
    </row>
    <row r="46" spans="1:8" x14ac:dyDescent="0.35">
      <c r="D46" s="5" t="s">
        <v>47</v>
      </c>
      <c r="E46" s="7">
        <v>209620</v>
      </c>
      <c r="G46" s="5" t="s">
        <v>310</v>
      </c>
      <c r="H46" s="7">
        <v>659180</v>
      </c>
    </row>
    <row r="47" spans="1:8" x14ac:dyDescent="0.35">
      <c r="D47" s="5" t="s">
        <v>21</v>
      </c>
      <c r="E47" s="7">
        <v>166211</v>
      </c>
    </row>
    <row r="48" spans="1:8" x14ac:dyDescent="0.35">
      <c r="D48" s="5" t="s">
        <v>310</v>
      </c>
      <c r="E48" s="7">
        <v>1350956</v>
      </c>
    </row>
    <row r="53" spans="1:6" x14ac:dyDescent="0.35">
      <c r="A53" s="8" t="s">
        <v>321</v>
      </c>
    </row>
    <row r="54" spans="1:6" x14ac:dyDescent="0.35">
      <c r="A54" t="s">
        <v>323</v>
      </c>
      <c r="B54" s="7">
        <f>B9</f>
        <v>101214228.94000003</v>
      </c>
      <c r="C54" s="7"/>
      <c r="D54" s="9"/>
    </row>
    <row r="55" spans="1:6" x14ac:dyDescent="0.35">
      <c r="A55" t="s">
        <v>19</v>
      </c>
      <c r="B55" s="7">
        <f>B29</f>
        <v>28187846.940000013</v>
      </c>
      <c r="C55" s="7"/>
      <c r="D55" s="9"/>
    </row>
    <row r="56" spans="1:6" x14ac:dyDescent="0.35">
      <c r="A56" t="s">
        <v>324</v>
      </c>
      <c r="B56" s="9">
        <f>B55/B54</f>
        <v>0.27849687968980941</v>
      </c>
      <c r="C56" s="7"/>
      <c r="D56" s="9"/>
    </row>
    <row r="58" spans="1:6" x14ac:dyDescent="0.35">
      <c r="F58" s="2">
        <v>210138409.96000001</v>
      </c>
    </row>
    <row r="59" spans="1:6" x14ac:dyDescent="0.35">
      <c r="F59" s="3">
        <v>60429310.170000002</v>
      </c>
    </row>
    <row r="60" spans="1:6" x14ac:dyDescent="0.35">
      <c r="A60" t="s">
        <v>331</v>
      </c>
      <c r="B60" t="s">
        <v>326</v>
      </c>
      <c r="C60" t="s">
        <v>325</v>
      </c>
      <c r="D60" t="s">
        <v>327</v>
      </c>
      <c r="F60" s="2">
        <v>0.28756908449770208</v>
      </c>
    </row>
    <row r="61" spans="1:6" x14ac:dyDescent="0.35">
      <c r="A61" t="s">
        <v>323</v>
      </c>
      <c r="B61" s="13">
        <f>B54</f>
        <v>101214228.94000003</v>
      </c>
      <c r="C61" s="7">
        <v>210138409.96000001</v>
      </c>
      <c r="D61" s="9">
        <f>B61/C61-1</f>
        <v>-0.51834493770431478</v>
      </c>
      <c r="F61" s="3">
        <v>1420956</v>
      </c>
    </row>
    <row r="62" spans="1:6" x14ac:dyDescent="0.35">
      <c r="A62" t="s">
        <v>19</v>
      </c>
      <c r="B62" s="13">
        <f>B55</f>
        <v>28187846.940000013</v>
      </c>
      <c r="C62" s="7">
        <v>60429310.170000002</v>
      </c>
      <c r="D62" s="9">
        <f t="shared" ref="D62:D64" si="5">B62/C62-1</f>
        <v>-0.53354015028962209</v>
      </c>
    </row>
    <row r="63" spans="1:6" x14ac:dyDescent="0.35">
      <c r="A63" t="s">
        <v>330</v>
      </c>
      <c r="B63" s="9">
        <f>B56</f>
        <v>0.27849687968980941</v>
      </c>
      <c r="C63" s="15">
        <v>0.28756908449770208</v>
      </c>
      <c r="D63" s="9">
        <f>B63/C63-1</f>
        <v>-3.1547914212472161E-2</v>
      </c>
    </row>
    <row r="64" spans="1:6" x14ac:dyDescent="0.35">
      <c r="A64" t="s">
        <v>318</v>
      </c>
      <c r="B64" s="6">
        <f>B45</f>
        <v>659180</v>
      </c>
      <c r="C64">
        <v>1420956</v>
      </c>
      <c r="D64" s="9">
        <f t="shared" si="5"/>
        <v>-0.53610104746382015</v>
      </c>
    </row>
  </sheetData>
  <conditionalFormatting sqref="O4:O16">
    <cfRule type="cellIs" dxfId="18" priority="3" operator="greaterThan">
      <formula>0</formula>
    </cfRule>
    <cfRule type="cellIs" dxfId="17" priority="4" operator="lessThan">
      <formula>0</formula>
    </cfRule>
  </conditionalFormatting>
  <conditionalFormatting sqref="D61:D64">
    <cfRule type="cellIs" dxfId="16" priority="1" operator="lessThan">
      <formula>0</formula>
    </cfRule>
    <cfRule type="cellIs" dxfId="15" priority="2" operator="greaterThan">
      <formula>0</formula>
    </cfRule>
  </conditionalFormatting>
  <pageMargins left="0.7" right="0.7" top="0.75" bottom="0.75" header="0.3" footer="0.3"/>
  <pageSetup orientation="portrait"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88788-14BC-49B8-8AF6-619B8781D369}">
  <sheetPr codeName="Sheet3"/>
  <dimension ref="A1:C14"/>
  <sheetViews>
    <sheetView workbookViewId="0">
      <selection activeCell="B2" sqref="B2:C5"/>
    </sheetView>
  </sheetViews>
  <sheetFormatPr defaultRowHeight="14.5" x14ac:dyDescent="0.35"/>
  <cols>
    <col min="1" max="1" width="11.81640625" bestFit="1" customWidth="1"/>
    <col min="2" max="2" width="11.7265625" bestFit="1" customWidth="1"/>
    <col min="3" max="3" width="11.81640625" customWidth="1"/>
  </cols>
  <sheetData>
    <row r="1" spans="1:3" x14ac:dyDescent="0.35">
      <c r="A1" t="s">
        <v>325</v>
      </c>
      <c r="B1" t="s">
        <v>328</v>
      </c>
      <c r="C1" t="s">
        <v>329</v>
      </c>
    </row>
    <row r="2" spans="1:3" x14ac:dyDescent="0.35">
      <c r="A2">
        <v>18300907.829999998</v>
      </c>
      <c r="B2" t="s">
        <v>323</v>
      </c>
      <c r="C2">
        <v>210138409.96000001</v>
      </c>
    </row>
    <row r="3" spans="1:3" x14ac:dyDescent="0.35">
      <c r="A3">
        <v>23544302.829999998</v>
      </c>
      <c r="B3" t="s">
        <v>19</v>
      </c>
      <c r="C3">
        <v>60429310.170000002</v>
      </c>
    </row>
    <row r="4" spans="1:3" x14ac:dyDescent="0.35">
      <c r="A4">
        <v>21303973.829999998</v>
      </c>
      <c r="B4" t="s">
        <v>330</v>
      </c>
      <c r="C4">
        <v>0.28756908449770208</v>
      </c>
    </row>
    <row r="5" spans="1:3" x14ac:dyDescent="0.35">
      <c r="A5">
        <v>10611141.83</v>
      </c>
      <c r="B5" t="s">
        <v>318</v>
      </c>
      <c r="C5">
        <v>1420956</v>
      </c>
    </row>
    <row r="6" spans="1:3" x14ac:dyDescent="0.35">
      <c r="A6">
        <v>14661450.829999998</v>
      </c>
    </row>
    <row r="7" spans="1:3" x14ac:dyDescent="0.35">
      <c r="A7">
        <v>22614103.829999998</v>
      </c>
    </row>
    <row r="8" spans="1:3" x14ac:dyDescent="0.35">
      <c r="A8">
        <v>18334866.829999998</v>
      </c>
    </row>
    <row r="9" spans="1:3" x14ac:dyDescent="0.35">
      <c r="A9">
        <v>20514112.829999998</v>
      </c>
    </row>
    <row r="10" spans="1:3" x14ac:dyDescent="0.35">
      <c r="A10">
        <v>20199829.829999998</v>
      </c>
    </row>
    <row r="11" spans="1:3" x14ac:dyDescent="0.35">
      <c r="A11">
        <v>12194029.83</v>
      </c>
    </row>
    <row r="12" spans="1:3" x14ac:dyDescent="0.35">
      <c r="A12">
        <v>12337190.83</v>
      </c>
    </row>
    <row r="13" spans="1:3" x14ac:dyDescent="0.35">
      <c r="A13">
        <v>15522498.83</v>
      </c>
    </row>
    <row r="14" spans="1:3" x14ac:dyDescent="0.35">
      <c r="A14">
        <v>210138409.96000001</v>
      </c>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9A97D-E02A-477E-87ED-4663F87837AB}">
  <sheetPr codeName="Sheet4"/>
  <dimension ref="A1"/>
  <sheetViews>
    <sheetView showGridLines="0" view="pageBreakPreview" zoomScale="60" zoomScaleNormal="41" workbookViewId="0">
      <selection activeCell="AC17" sqref="AC17"/>
    </sheetView>
  </sheetViews>
  <sheetFormatPr defaultRowHeight="14.5" x14ac:dyDescent="0.35"/>
  <cols>
    <col min="1" max="16384" width="8.7265625" style="12"/>
  </cols>
  <sheetData/>
  <sheetProtection sheet="1" objects="1" scenarios="1"/>
  <pageMargins left="0.7" right="0.7" top="0.75" bottom="0.75" header="0.3" footer="0.3"/>
  <pageSetup scale="36" orientation="portrait" r:id="rId1"/>
  <drawing r:id="rId2"/>
  <legacy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415E2-8B0F-4697-BC62-C023CE32DF5A}">
  <sheetPr codeName="Sheet5"/>
  <dimension ref="A1"/>
  <sheetViews>
    <sheetView showGridLines="0" tabSelected="1" workbookViewId="0">
      <selection activeCell="C3" sqref="C3"/>
    </sheetView>
  </sheetViews>
  <sheetFormatPr defaultRowHeight="14.5" x14ac:dyDescent="0.35"/>
  <cols>
    <col min="1" max="16384" width="8.7265625" style="17"/>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BB8BC72-E1B3-4EE6-9880-C94D676B992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Analysis</vt:lpstr>
      <vt:lpstr>Budget</vt:lpstr>
      <vt:lpstr>Dashboard</vt:lpstr>
      <vt:lpstr>Automate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Vikram Singh Shah</dc:creator>
  <cp:lastModifiedBy>Vikram Singh Shah</cp:lastModifiedBy>
  <cp:lastPrinted>2025-11-27T09:33:05Z</cp:lastPrinted>
  <dcterms:created xsi:type="dcterms:W3CDTF">2025-11-26T08:41:39Z</dcterms:created>
  <dcterms:modified xsi:type="dcterms:W3CDTF">2025-11-27T11:09:02Z</dcterms:modified>
</cp:coreProperties>
</file>